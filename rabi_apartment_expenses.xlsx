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3B1D3E8D-2F29-4647-AA8C-6570E5C8ADDC}" xr6:coauthVersionLast="47" xr6:coauthVersionMax="47" xr10:uidLastSave="{00000000-0000-0000-0000-000000000000}"/>
  <bookViews>
    <workbookView xWindow="-108" yWindow="-108" windowWidth="23256" windowHeight="12456" firstSheet="10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9" l="1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74" i="27" s="1"/>
  <c r="C75" i="27" s="1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G23" i="28" l="1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<sst xmlns="http://schemas.openxmlformats.org/spreadsheetml/2006/main" count="752" uniqueCount="217">
  <si>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</si>
  <si>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</si>
  <si>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</si>
  <si>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</si>
  <si>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</si>
  <si>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</si>
  <si>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</si>
  <si>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</si>
  <si>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</si>
  <si>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</si>
  <si>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</si>
  <si>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</si>
  <si>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</si>
  <si>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</si>
  <si>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</si>
  <si>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</si>
  <si>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</si>
  <si>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</si>
  <si>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</si>
  <si>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</si>
  <si>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</si>
  <si>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</si>
  <si>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</si>
  <si>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</si>
  <si>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</si>
  <si>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</si>
  <si>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</si>
  <si>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</si>
  <si>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</si>
  <si>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</si>
  <si>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</si>
  <si>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</si>
  <si>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</si>
  <si>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</si>
  <si>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</si>
  <si>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</si>
  <si>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</si>
  <si>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</si>
  <si>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</si>
  <si>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</si>
  <si>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</si>
  <si>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</si>
  <si>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</si>
  <si>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</si>
  <si>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</si>
  <si>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</si>
  <si>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</si>
  <si>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</si>
  <si>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</si>
  <si>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</si>
  <si>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</si>
  <si>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</si>
  <si>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</si>
  <si>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</si>
  <si>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</si>
  <si>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</si>
  <si>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</si>
  <si>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</si>
  <si>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</si>
  <si>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</si>
  <si>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</si>
  <si>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</si>
  <si>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</si>
  <si>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</si>
  <si>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</si>
  <si>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</si>
  <si>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</si>
  <si>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</si>
  <si>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</si>
  <si>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</si>
  <si>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</si>
  <si>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</si>
  <si>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</si>
  <si>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</si>
  <si>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</si>
  <si>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</si>
  <si>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</si>
  <si>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</si>
  <si>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</si>
  <si>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</si>
  <si>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</si>
  <si>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</si>
  <si>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</si>
  <si>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</si>
  <si>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</si>
  <si>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</si>
  <si>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</si>
  <si>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</si>
  <si>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</si>
  <si>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</si>
  <si>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</si>
  <si>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</si>
  <si>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</si>
  <si>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</si>
  <si>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</si>
  <si>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</si>
  <si>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</si>
  <si>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</si>
  <si>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</si>
  <si>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</si>
  <si>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</si>
  <si>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</si>
  <si>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</si>
  <si>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</si>
  <si>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</si>
  <si>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</si>
  <si>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</si>
  <si>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</si>
  <si>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</si>
  <si>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</si>
  <si>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</si>
  <si>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</si>
  <si>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</si>
  <si>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</si>
  <si>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</si>
  <si>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</si>
  <si>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</si>
  <si>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</si>
  <si>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</si>
  <si>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</si>
  <si>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</si>
  <si>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</si>
  <si>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</si>
  <si>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</si>
  <si>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</si>
  <si>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</si>
  <si>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</si>
  <si>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</si>
  <si>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</si>
  <si>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</si>
  <si>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</si>
  <si>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</si>
  <si>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</si>
  <si>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</si>
  <si>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</si>
  <si>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</si>
  <si>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</si>
  <si>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</si>
  <si>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</si>
  <si>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</si>
  <si>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</si>
  <si>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</si>
  <si>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</si>
  <si>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</si>
  <si>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</si>
  <si>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</si>
  <si>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</si>
  <si>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</si>
  <si>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</si>
  <si>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</si>
  <si>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</si>
  <si>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</si>
  <si>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</si>
  <si>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</si>
  <si>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</si>
  <si>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</si>
  <si>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</si>
  <si>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</si>
  <si>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</si>
  <si>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</si>
  <si>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</si>
  <si>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</si>
  <si>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</si>
  <si>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</si>
  <si>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</si>
  <si>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</si>
  <si>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</si>
  <si>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</si>
  <si>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</si>
  <si>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</si>
  <si>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</si>
  <si>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</si>
  <si>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</si>
  <si>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</si>
  <si>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</si>
  <si>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</si>
  <si>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</si>
  <si>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</si>
  <si>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</si>
  <si>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</si>
  <si>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</si>
  <si>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</si>
  <si>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</si>
  <si>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</si>
  <si>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</si>
  <si>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</si>
  <si>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</si>
  <si>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</si>
  <si>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</si>
  <si>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</si>
  <si>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</si>
  <si>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</si>
  <si>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</si>
  <si>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</si>
  <si>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</si>
  <si>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</si>
  <si>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</si>
  <si>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</si>
  <si>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</si>
  <si>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</si>
  <si>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</si>
  <si>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</si>
  <si>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</si>
  <si>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</si>
  <si>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</si>
  <si>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</si>
  <si>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</si>
  <si>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</si>
  <si>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</si>
  <si>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</si>
  <si>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</si>
  <si>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</si>
  <si>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</si>
  <si>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</si>
  <si>
    <t>استخدام رصيد من الأجار لدفع العزبة</t>
  </si>
  <si>
    <t>نقل رصيد من الأجار لدفع العزبة</t>
  </si>
  <si>
    <t>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</si>
</sst>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21" headerRowBorderDxfId="320" tableBorderDxfId="319" totalsRowBorderDxfId="318">
  <autoFilter ref="B3:F9" xr:uid="{3E62A328-AD6E-48B2-A699-07AB142B3434}"/>
  <tableColumns count="5">
    <tableColumn id="1" xr3:uid="{77364C36-1746-4A88-91E4-1190CDC18103}" name="Date" dataDxfId="317"/>
    <tableColumn id="2" xr3:uid="{800BCA27-ECC8-4824-86BC-BE4594371626}" name="Description" dataDxfId="316"/>
    <tableColumn id="5" xr3:uid="{1D7B4480-1FF5-44C4-9412-95A81C1BF879}" name="Rental Amounts" dataDxfId="315"/>
    <tableColumn id="3" xr3:uid="{B343C62A-37C6-46F9-8B9F-440ED013E240}" name="General Expenses" dataDxfId="314"/>
    <tableColumn id="4" xr3:uid="{9A6D64BF-B8FD-4769-9BFC-76FA185D5091}" name="Comments" dataDxfId="3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12" headerRowBorderDxfId="311" tableBorderDxfId="310" totalsRowBorderDxfId="309">
  <autoFilter ref="B3:F14" xr:uid="{3E62A328-AD6E-48B2-A699-07AB142B3434}"/>
  <tableColumns count="5">
    <tableColumn id="1" xr3:uid="{DC69C7C0-9FC3-4D47-B9DA-EABE938C7483}" name="Date" dataDxfId="308"/>
    <tableColumn id="2" xr3:uid="{B93F1828-8FAA-4039-9459-BDF6550CC6CA}" name="Description" dataDxfId="307"/>
    <tableColumn id="5" xr3:uid="{B265A6FB-EFF0-42DD-A3E6-612B19FA9A47}" name="Rental Amounts" dataDxfId="306"/>
    <tableColumn id="3" xr3:uid="{B3AA0C51-56B3-4FB2-86DB-CB9171D472DF}" name="General Expenses" dataDxfId="305"/>
    <tableColumn id="4" xr3:uid="{C43A1CDC-2AEA-477C-87AD-8427A09D4D9A}" name="Comments" dataDxfId="3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03" headerRowBorderDxfId="302" tableBorderDxfId="301" totalsRowBorderDxfId="300">
  <autoFilter ref="B3:G4" xr:uid="{3E62A328-AD6E-48B2-A699-07AB142B3434}"/>
  <tableColumns count="6">
    <tableColumn id="1" xr3:uid="{F2237301-754B-47B4-96BA-C6E5B0BB89D4}" name="Date" dataDxfId="299"/>
    <tableColumn id="2" xr3:uid="{2805320C-3C90-4FBD-8517-7283F1FDDDF5}" name="Description" dataDxfId="298"/>
    <tableColumn id="5" xr3:uid="{4AE595F2-D4CC-43B1-8C6F-75D094F250A6}" name="Rental Amounts" dataDxfId="297"/>
    <tableColumn id="3" xr3:uid="{3ABEC589-5547-4F6D-8538-506F5574EEF5}" name="General Expenses" dataDxfId="296"/>
    <tableColumn id="4" xr3:uid="{93156758-56B2-4C91-A81C-44F5944C7CB5}" name="Comments" dataDxfId="295"/>
    <tableColumn id="6" xr3:uid="{D9F9D596-9A1D-4458-898C-CEA365DABCE8}" name="Column1" dataDxfId="29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93" tableBorderDxfId="292" totalsRowBorderDxfId="291">
  <autoFilter ref="A22:D40" xr:uid="{6A708C44-F2F5-4584-913D-DD0A472A5F82}"/>
  <tableColumns count="4">
    <tableColumn id="1" xr3:uid="{FDAC8048-8290-4C04-9DC0-EE08855B5082}" name="Date" dataDxfId="290"/>
    <tableColumn id="2" xr3:uid="{5FC23500-E5BC-45E2-9F20-92D80331184A}" name="Description" dataDxfId="289"/>
    <tableColumn id="3" xr3:uid="{13CFA113-6902-4082-9EB4-5C37FC33813D}" name="Amount" dataDxfId="288"/>
    <tableColumn id="4" xr3:uid="{0A2E9BCA-BC25-4D84-B5C4-B5F3BDD8CD8E}" name="Paid By" dataDxfId="2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86" tableBorderDxfId="285" totalsRowBorderDxfId="284">
  <autoFilter ref="A7:D15" xr:uid="{80463B2B-140C-4BDB-8DD5-F6096215EFE7}"/>
  <tableColumns count="4">
    <tableColumn id="1" xr3:uid="{FD3BE87C-4466-4687-B27A-E8940E3F9FBD}" name="Date" dataDxfId="283"/>
    <tableColumn id="2" xr3:uid="{18AAB156-0E8F-4C3E-96E5-64F670C6DA90}" name="Description" dataDxfId="282"/>
    <tableColumn id="3" xr3:uid="{8B5CAF20-764D-4111-8B94-302778960CBC}" name="Amount" dataDxfId="281"/>
    <tableColumn id="4" xr3:uid="{CB460B0E-5B97-4CA4-8299-C89F76979F64}" name="Paid By" dataDxfId="2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9" tableBorderDxfId="278" totalsRowBorderDxfId="277">
  <autoFilter ref="A49:D68" xr:uid="{AE116159-1DBD-4123-96D0-93E844246614}"/>
  <tableColumns count="4">
    <tableColumn id="1" xr3:uid="{EA7D064C-7D27-42A8-B08A-E79C1F5C4B07}" name="Date" dataDxfId="276"/>
    <tableColumn id="2" xr3:uid="{6CE4DF82-E169-40D6-9ABE-2954EFB1C2FE}" name="Description" dataDxfId="275"/>
    <tableColumn id="3" xr3:uid="{DAD651FA-371A-42D0-9AD3-8D1408ADD3E5}" name="Amount" dataDxfId="274"/>
    <tableColumn id="4" xr3:uid="{568C6EA1-E4C5-4D11-8421-72C8BF0F4E1F}" name="Paid By" dataDxfId="2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72" tableBorderDxfId="271" totalsRowBorderDxfId="270">
  <autoFilter ref="A20:D34" xr:uid="{6A708C44-F2F5-4584-913D-DD0A472A5F82}"/>
  <tableColumns count="4">
    <tableColumn id="1" xr3:uid="{FB116B9F-7435-432F-A3ED-C2FFC1FDE5C7}" name="Date" dataDxfId="269"/>
    <tableColumn id="2" xr3:uid="{14BA35C9-7AF6-47C0-8EBE-AC480CAB2FF4}" name="Description" dataDxfId="268"/>
    <tableColumn id="3" xr3:uid="{B6B7BD15-6A65-407C-AD0F-3B69CD99CC81}" name="Amount" dataDxfId="267"/>
    <tableColumn id="4" xr3:uid="{3ADD6193-50AF-4440-9BE6-C3D3D0518ECF}" name="Paid By" dataDxfId="2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65" tableBorderDxfId="264" totalsRowBorderDxfId="263">
  <autoFilter ref="A7:D13" xr:uid="{80463B2B-140C-4BDB-8DD5-F6096215EFE7}"/>
  <tableColumns count="4">
    <tableColumn id="1" xr3:uid="{10F3A47E-0648-4410-AF72-72AFFB8D3A8E}" name="Date" dataDxfId="262"/>
    <tableColumn id="2" xr3:uid="{52793A16-BCE6-4572-8CC0-6401EAECA7BD}" name="Description" dataDxfId="261"/>
    <tableColumn id="3" xr3:uid="{004BE8B9-5664-4438-9A21-A8A5096E8076}" name="Amount" dataDxfId="260"/>
    <tableColumn id="4" xr3:uid="{F57AB8F0-F802-42F5-87EE-5F688394D34D}" name="Paid By" dataDxfId="2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8" tableBorderDxfId="257" totalsRowBorderDxfId="256">
  <autoFilter ref="A43:D61" xr:uid="{AE116159-1DBD-4123-96D0-93E844246614}"/>
  <tableColumns count="4">
    <tableColumn id="1" xr3:uid="{78799EB4-56D6-4BCA-A74B-F61F4C7957C2}" name="Date" dataDxfId="255"/>
    <tableColumn id="2" xr3:uid="{B46C4ECC-41F7-4C36-809B-C5FA8FB381BC}" name="Description" dataDxfId="254"/>
    <tableColumn id="3" xr3:uid="{9B3E7190-CFE1-4ADA-B98A-0C8A78660906}" name="Amount" dataDxfId="253"/>
    <tableColumn id="4" xr3:uid="{E315B8B6-6DF1-48FC-AFAC-D45D9350B61B}" name="Paid By" dataDxfId="25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51" tableBorderDxfId="250" totalsRowBorderDxfId="249">
  <autoFilter ref="A20:D34" xr:uid="{6A708C44-F2F5-4584-913D-DD0A472A5F82}"/>
  <tableColumns count="4">
    <tableColumn id="1" xr3:uid="{5EECD131-FB4A-4842-BBB3-069E16E70B25}" name="Date" dataDxfId="248"/>
    <tableColumn id="2" xr3:uid="{3C5CCA34-80FF-401F-85CE-EAFE06484DF5}" name="Description" dataDxfId="247"/>
    <tableColumn id="3" xr3:uid="{190C798B-F1D8-4E41-9D9A-6338FCAA5513}" name="Amount" dataDxfId="246"/>
    <tableColumn id="4" xr3:uid="{410F52D8-6787-4257-85BD-F47EAAF99781}" name="Paid By" dataDxfId="2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44" tableBorderDxfId="243" totalsRowBorderDxfId="242">
  <autoFilter ref="A7:D13" xr:uid="{80463B2B-140C-4BDB-8DD5-F6096215EFE7}"/>
  <tableColumns count="4">
    <tableColumn id="1" xr3:uid="{DB888D53-21A0-4F13-9D3F-800B099EAF68}" name="Date" dataDxfId="241"/>
    <tableColumn id="2" xr3:uid="{0A9FD57F-2F02-4D96-BB34-2EEB1B60A454}" name="Description" dataDxfId="240"/>
    <tableColumn id="3" xr3:uid="{4E61F633-B7AA-4A0D-8D1F-E160E7ACC4D9}" name="Amount" dataDxfId="239"/>
    <tableColumn id="4" xr3:uid="{4F868BBC-5B72-48EF-B18D-720E87367B93}" name="Paid By" dataDxfId="2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7" tableBorderDxfId="236" totalsRowBorderDxfId="235">
  <autoFilter ref="A43:D62" xr:uid="{AE116159-1DBD-4123-96D0-93E844246614}"/>
  <tableColumns count="4">
    <tableColumn id="1" xr3:uid="{FEAA96A5-348B-4A82-AED7-4A53CFDD8E84}" name="Date" dataDxfId="234"/>
    <tableColumn id="2" xr3:uid="{EA8402E2-BDB6-41B7-A6EC-65DE8ABD961F}" name="Description" dataDxfId="233"/>
    <tableColumn id="3" xr3:uid="{8FF6A1D5-0C4A-451C-9BD7-63C3F8596926}" name="Amount" dataDxfId="232"/>
    <tableColumn id="4" xr3:uid="{47DD7AF9-1924-48B3-939D-32F7ED5B1F98}" name="Paid By" dataDxfId="2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30" tableBorderDxfId="229" totalsRowBorderDxfId="228">
  <autoFilter ref="A20:D34" xr:uid="{6A708C44-F2F5-4584-913D-DD0A472A5F82}"/>
  <tableColumns count="4">
    <tableColumn id="1" xr3:uid="{17A5657E-417F-4F20-9EF6-A1C1C5A701DA}" name="Date" dataDxfId="227"/>
    <tableColumn id="2" xr3:uid="{FE03BF07-4AC8-40B3-8473-4452C8FEA4EA}" name="Description" dataDxfId="226"/>
    <tableColumn id="3" xr3:uid="{733C9BC2-92BA-4D92-990E-0D4DF4A9766A}" name="Amount" dataDxfId="225"/>
    <tableColumn id="4" xr3:uid="{6EC42129-0D7D-42EE-AC82-1FF1F8E14D2B}" name="Paid By" dataDxfId="2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23" tableBorderDxfId="222" totalsRowBorderDxfId="221">
  <autoFilter ref="A7:D13" xr:uid="{80463B2B-140C-4BDB-8DD5-F6096215EFE7}"/>
  <tableColumns count="4">
    <tableColumn id="1" xr3:uid="{163E395B-CF5C-4180-AC2F-6C6E2E12A485}" name="Date" dataDxfId="220"/>
    <tableColumn id="2" xr3:uid="{297A7B42-A57B-488F-91C2-D9992D385359}" name="Description" dataDxfId="219"/>
    <tableColumn id="3" xr3:uid="{DB353452-F239-48A1-B829-4B211F51E40C}" name="Amount" dataDxfId="218">
      <calculatedColumnFormula>SUM(C3:C7)</calculatedColumnFormula>
    </tableColumn>
    <tableColumn id="4" xr3:uid="{5ECBAABA-C806-408E-ABE0-2C9199C33B09}" name="Paid By" dataDxfId="2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16" tableBorderDxfId="215" totalsRowBorderDxfId="214">
  <autoFilter ref="A43:D62" xr:uid="{AE116159-1DBD-4123-96D0-93E844246614}"/>
  <tableColumns count="4">
    <tableColumn id="1" xr3:uid="{2FC74139-6F14-417D-8308-8AD9309DAFED}" name="Date" dataDxfId="213"/>
    <tableColumn id="2" xr3:uid="{3A0C7C0E-1202-4CDD-B532-D7C285A8233F}" name="Description" dataDxfId="212"/>
    <tableColumn id="3" xr3:uid="{DFEC93BE-67F9-450C-A06A-42C5D6676F2C}" name="Amount" dataDxfId="211">
      <calculatedColumnFormula>SUM(C26:C43)</calculatedColumnFormula>
    </tableColumn>
    <tableColumn id="4" xr3:uid="{59BF0E82-5531-4A2A-BD7F-E66AD93089D7}" name="Paid By" dataDxfId="2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9" tableBorderDxfId="208" totalsRowBorderDxfId="207">
  <autoFilter ref="A20:D34" xr:uid="{6A708C44-F2F5-4584-913D-DD0A472A5F82}"/>
  <tableColumns count="4">
    <tableColumn id="1" xr3:uid="{A6AA396C-DE65-4FE8-8D32-FBF0AD63769C}" name="Date" dataDxfId="206"/>
    <tableColumn id="2" xr3:uid="{CCCC414C-6E2C-49C6-ABAA-70C42B13A185}" name="Description" dataDxfId="205"/>
    <tableColumn id="3" xr3:uid="{E6650424-1ED9-4B86-AA3C-C2F839FC5428}" name="Amount" dataDxfId="204"/>
    <tableColumn id="4" xr3:uid="{A747EFEF-B3B2-455D-ACD7-216FEA6721E8}" name="Paid By" dataDxfId="20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02" tableBorderDxfId="201" totalsRowBorderDxfId="200">
  <autoFilter ref="A7:D13" xr:uid="{80463B2B-140C-4BDB-8DD5-F6096215EFE7}"/>
  <tableColumns count="4">
    <tableColumn id="1" xr3:uid="{4818C606-764B-42E6-97AA-9D840248092D}" name="Date" dataDxfId="199"/>
    <tableColumn id="2" xr3:uid="{E44330A6-36BB-4570-9276-5F5E6D2D4FD1}" name="Description" dataDxfId="198"/>
    <tableColumn id="3" xr3:uid="{94B75499-45AA-4794-8AE3-BD587610BCA9}" name="Amount" dataDxfId="197"/>
    <tableColumn id="4" xr3:uid="{CAA58807-A6AA-41A2-815B-1A0A5072E371}" name="Paid By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95" tableBorderDxfId="194" totalsRowBorderDxfId="193">
  <autoFilter ref="A43:D62" xr:uid="{AE116159-1DBD-4123-96D0-93E844246614}"/>
  <tableColumns count="4">
    <tableColumn id="1" xr3:uid="{27132BDD-657B-4742-9B4D-C557284035D6}" name="Date" dataDxfId="192"/>
    <tableColumn id="2" xr3:uid="{7AB689BC-D770-4DB7-8272-24EB5BE48349}" name="Description" dataDxfId="191"/>
    <tableColumn id="3" xr3:uid="{BF1CB370-7CD9-4C7A-9552-85B45DDD375F}" name="Amount" dataDxfId="190"/>
    <tableColumn id="4" xr3:uid="{BA796531-8941-4498-859E-87BB0EBF6490}" name="Paid By" dataDxfId="18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8" tableBorderDxfId="187" totalsRowBorderDxfId="186">
  <autoFilter ref="A24:D38" xr:uid="{6A708C44-F2F5-4584-913D-DD0A472A5F82}"/>
  <tableColumns count="4">
    <tableColumn id="1" xr3:uid="{808AE6FE-4211-4904-A382-ABE5487FC961}" name="Date" dataDxfId="185"/>
    <tableColumn id="2" xr3:uid="{A635D64A-C285-4170-8C55-AB4492E85220}" name="Description" dataDxfId="184"/>
    <tableColumn id="3" xr3:uid="{47FB2676-2C3B-4F05-BBF2-BE83BDC1EFDB}" name="Amount" dataDxfId="183">
      <calculatedColumnFormula>SUM(C12:C24)</calculatedColumnFormula>
    </tableColumn>
    <tableColumn id="4" xr3:uid="{7CC6D46C-1DB4-4397-8077-A8E183ED6AF0}" name="Paid By" dataDxfId="18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81" tableBorderDxfId="180" totalsRowBorderDxfId="179">
  <autoFilter ref="A7:D17" xr:uid="{80463B2B-140C-4BDB-8DD5-F6096215EFE7}"/>
  <tableColumns count="4">
    <tableColumn id="1" xr3:uid="{C9EE698F-A4BF-4194-80C8-53E55D2BB06B}" name="Date" dataDxfId="178"/>
    <tableColumn id="2" xr3:uid="{726AFABD-9D37-4303-AF72-441EFC76AED1}" name="Description" dataDxfId="177"/>
    <tableColumn id="3" xr3:uid="{7D14BC9C-1558-49A8-950E-55649A6ED911}" name="Amount" dataDxfId="176"/>
    <tableColumn id="4" xr3:uid="{00D32B9B-859F-40C2-8368-12E9C22E5301}" name="Paid By" dataDxfId="17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74" tableBorderDxfId="173" totalsRowBorderDxfId="172">
  <autoFilter ref="A47:D66" xr:uid="{AE116159-1DBD-4123-96D0-93E844246614}"/>
  <tableColumns count="4">
    <tableColumn id="1" xr3:uid="{C4C14CA2-02DC-48B0-B1D8-80707DC73D39}" name="Date" dataDxfId="171"/>
    <tableColumn id="2" xr3:uid="{717D1D51-9F07-429E-AC3D-6A32C0FAA97C}" name="Description" dataDxfId="170"/>
    <tableColumn id="3" xr3:uid="{39B3B5C9-DE5E-4669-8012-F50F1421C0C0}" name="Amount" dataDxfId="169"/>
    <tableColumn id="4" xr3:uid="{0309C5EA-A715-443B-83EA-EF21C4219007}" name="Paid By" dataDxfId="16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7" tableBorderDxfId="166" totalsRowBorderDxfId="165">
  <autoFilter ref="A24:D38" xr:uid="{6A708C44-F2F5-4584-913D-DD0A472A5F82}"/>
  <tableColumns count="4">
    <tableColumn id="1" xr3:uid="{C53585D0-6AE6-4BFA-A0C0-E70CEFE60C8D}" name="Date" dataDxfId="164"/>
    <tableColumn id="2" xr3:uid="{8E9BBBC4-3E26-406C-AF88-90412E1EA979}" name="Description" dataDxfId="163"/>
    <tableColumn id="3" xr3:uid="{A98BED95-97DA-441A-9E8C-DB790DD65809}" name="Amount" dataDxfId="162">
      <calculatedColumnFormula>SUM(C12:C24)</calculatedColumnFormula>
    </tableColumn>
    <tableColumn id="4" xr3:uid="{5687E042-223B-4809-8504-E3612041CAF0}" name="Paid By" dataDxfId="16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60" tableBorderDxfId="159" totalsRowBorderDxfId="158">
  <autoFilter ref="A7:D17" xr:uid="{80463B2B-140C-4BDB-8DD5-F6096215EFE7}"/>
  <tableColumns count="4">
    <tableColumn id="1" xr3:uid="{30562863-A273-48EF-90EB-915D440C35F2}" name="Date" dataDxfId="157"/>
    <tableColumn id="2" xr3:uid="{9BA0E912-47BC-4136-B5F1-6089F2F03BF5}" name="Description" dataDxfId="156"/>
    <tableColumn id="3" xr3:uid="{BC18368B-ECB7-4338-B6A0-16230D58EA3E}" name="Amount" dataDxfId="155"/>
    <tableColumn id="4" xr3:uid="{5A211BB6-B5DF-42E6-BBC5-A38998582D8C}" name="Paid By" dataDxfId="15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53" tableBorderDxfId="152" totalsRowBorderDxfId="151">
  <autoFilter ref="A47:D66" xr:uid="{AE116159-1DBD-4123-96D0-93E844246614}"/>
  <tableColumns count="4">
    <tableColumn id="1" xr3:uid="{F3C725B5-098D-4CCA-80EC-690394218C68}" name="Date" dataDxfId="150"/>
    <tableColumn id="2" xr3:uid="{A9571D35-C809-4A65-948B-1687E0D599D4}" name="Description" dataDxfId="149"/>
    <tableColumn id="3" xr3:uid="{339BC089-8CAE-44AE-97A4-D5631FBD9FDD}" name="Amount" dataDxfId="148"/>
    <tableColumn id="4" xr3:uid="{14D15AC4-F6EC-402F-B91B-82EB804BB6A1}" name="Paid By" dataDxfId="147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46" tableBorderDxfId="145" totalsRowBorderDxfId="144">
  <autoFilter ref="A24:D38" xr:uid="{6A708C44-F2F5-4584-913D-DD0A472A5F82}"/>
  <tableColumns count="4">
    <tableColumn id="1" xr3:uid="{B1731B75-B6E6-42C3-B229-C6EC3BCD1826}" name="Date" dataDxfId="143"/>
    <tableColumn id="2" xr3:uid="{88A20CB7-D4E4-4E90-9490-3A798EFDFDF2}" name="Description" dataDxfId="142"/>
    <tableColumn id="3" xr3:uid="{3013BD54-6EA5-44C5-8DBD-AE99A9D0089A}" name="Amount" dataDxfId="141">
      <calculatedColumnFormula>SUM(C12:C24)</calculatedColumnFormula>
    </tableColumn>
    <tableColumn id="4" xr3:uid="{CAFA86F2-9D31-4BB0-B000-539E508BBF65}" name="Paid By" dataDxfId="1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9" tableBorderDxfId="138" totalsRowBorderDxfId="137">
  <autoFilter ref="A7:D17" xr:uid="{80463B2B-140C-4BDB-8DD5-F6096215EFE7}"/>
  <tableColumns count="4">
    <tableColumn id="1" xr3:uid="{4980F52A-54AE-47B1-9996-5773626FA714}" name="Date" dataDxfId="136"/>
    <tableColumn id="2" xr3:uid="{C2CC07CE-8A3F-4959-AD03-FDBD51E51ED7}" name="Description" dataDxfId="135"/>
    <tableColumn id="3" xr3:uid="{2B40D35C-4792-4F29-80FE-0877009BD242}" name="Amount" dataDxfId="134"/>
    <tableColumn id="4" xr3:uid="{B72BC297-9664-4424-A169-1F79405D95CF}" name="Paid By" dataDxfId="1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32" tableBorderDxfId="131" totalsRowBorderDxfId="130">
  <autoFilter ref="A47:D66" xr:uid="{AE116159-1DBD-4123-96D0-93E844246614}"/>
  <tableColumns count="4">
    <tableColumn id="1" xr3:uid="{D3AF7775-2CCD-4A19-ACCD-096B986B1C3D}" name="Date" dataDxfId="129"/>
    <tableColumn id="2" xr3:uid="{C7380F3D-D985-43E1-9F7E-8F76CC70B139}" name="Description" dataDxfId="128"/>
    <tableColumn id="3" xr3:uid="{18F5D96F-A532-4158-9D7C-702A361C0B48}" name="Amount" dataDxfId="127"/>
    <tableColumn id="4" xr3:uid="{F1E2608A-9FE4-4037-BE08-DCB4F712F65F}" name="Paid By" dataDxfId="12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25" tableBorderDxfId="124" totalsRowBorderDxfId="123">
  <autoFilter ref="A73:D92" xr:uid="{DCCAD279-9F65-4209-B88E-8E8854D78F06}"/>
  <tableColumns count="4">
    <tableColumn id="1" xr3:uid="{06BAD5A4-CA39-4572-9046-EF9EDF9C1EA3}" name="Date" dataDxfId="122"/>
    <tableColumn id="2" xr3:uid="{F80EDE8E-CE6A-436A-88B3-B7AF757F7C70}" name="Description" dataDxfId="121"/>
    <tableColumn id="3" xr3:uid="{400A1F24-371B-4FEC-8777-3A27BFD10054}" name="Amount" dataDxfId="120"/>
    <tableColumn id="4" xr3:uid="{1ECF3D7C-116A-4DEF-8BEC-5660C4F33108}" name="Paid By" dataDxfId="1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8" tableBorderDxfId="117" totalsRowBorderDxfId="116">
  <autoFilter ref="A24:D38" xr:uid="{6A708C44-F2F5-4584-913D-DD0A472A5F82}"/>
  <tableColumns count="4">
    <tableColumn id="1" xr3:uid="{E96303EF-7738-4CF3-8123-697A234B6A09}" name="Date" dataDxfId="115"/>
    <tableColumn id="2" xr3:uid="{3312BBFC-D7AE-40F5-88BB-4F2090965B2F}" name="Description" dataDxfId="114"/>
    <tableColumn id="3" xr3:uid="{C94D8547-46A3-4E49-A1BF-F443AA3C2C53}" name="Amount" dataDxfId="113">
      <calculatedColumnFormula>SUM(C12:C24)</calculatedColumnFormula>
    </tableColumn>
    <tableColumn id="4" xr3:uid="{98BC32BE-6DE5-47D3-B457-8BC83D131AD2}" name="Paid By" dataDxfId="11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11" tableBorderDxfId="110" totalsRowBorderDxfId="109">
  <autoFilter ref="A7:D17" xr:uid="{80463B2B-140C-4BDB-8DD5-F6096215EFE7}"/>
  <tableColumns count="4">
    <tableColumn id="1" xr3:uid="{615F6B0D-B523-49B3-8972-E6BDE41F4859}" name="Date" dataDxfId="108"/>
    <tableColumn id="2" xr3:uid="{02BB9A1A-BCF3-4DC6-BA28-DC3C9B0AECFB}" name="Description" dataDxfId="107"/>
    <tableColumn id="3" xr3:uid="{D44C4E7F-B5DC-4EAE-A711-C97BE01DE42A}" name="Amount" dataDxfId="106"/>
    <tableColumn id="4" xr3:uid="{A23C051D-4BC9-4A39-88F3-25B4C66241CC}" name="Paid By" dataDxfId="105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04" tableBorderDxfId="103" totalsRowBorderDxfId="102">
  <autoFilter ref="A47:D66" xr:uid="{AE116159-1DBD-4123-96D0-93E844246614}"/>
  <tableColumns count="4">
    <tableColumn id="1" xr3:uid="{D039F970-B7C3-4BB7-A0CC-F3C1C1413BCE}" name="Date" dataDxfId="101"/>
    <tableColumn id="2" xr3:uid="{CD6B28B9-E1BA-45E1-A87D-182D0CEB759C}" name="Description" dataDxfId="100"/>
    <tableColumn id="3" xr3:uid="{A3FCD3D7-84EB-4548-A8A2-06E9A504325A}" name="Amount" dataDxfId="99"/>
    <tableColumn id="4" xr3:uid="{FC3CA437-82BE-4E86-B440-284EFF667BD1}" name="Paid By" dataDxfId="9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7" tableBorderDxfId="96" totalsRowBorderDxfId="95">
  <autoFilter ref="A73:D92" xr:uid="{4778689F-2BFC-4B59-9BC3-6F2D285CA176}"/>
  <tableColumns count="4">
    <tableColumn id="1" xr3:uid="{C3F8C764-F3AD-47FE-B87E-CF519A8E8082}" name="Date" dataDxfId="94"/>
    <tableColumn id="2" xr3:uid="{684ECC90-39BE-4070-AC82-9CAF035C55E9}" name="Description" dataDxfId="93"/>
    <tableColumn id="3" xr3:uid="{FA95CD63-236C-495B-9398-FD64B36F0D98}" name="Amount" dataDxfId="92"/>
    <tableColumn id="4" xr3:uid="{00A88C5F-B24E-4AA6-A697-BD47D45EA6B8}" name="Paid By" dataDxfId="9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90" tableBorderDxfId="89" totalsRowBorderDxfId="88">
  <autoFilter ref="A24:D39" xr:uid="{6A708C44-F2F5-4584-913D-DD0A472A5F82}"/>
  <tableColumns count="4">
    <tableColumn id="1" xr3:uid="{196BD304-5519-408A-A6BB-1615EA264D8F}" name="Date" dataDxfId="87"/>
    <tableColumn id="2" xr3:uid="{3AB38D40-EC99-4014-B2E0-7E944C56F35D}" name="Description" dataDxfId="86"/>
    <tableColumn id="3" xr3:uid="{2EF4EEAE-B365-4536-8D8E-210877CF3F1F}" name="Amount" dataDxfId="85">
      <calculatedColumnFormula>SUM(C12:C24)</calculatedColumnFormula>
    </tableColumn>
    <tableColumn id="4" xr3:uid="{5CECE71A-950B-4EF0-885D-B5C836587240}" name="Paid By" dataDxfId="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83" tableBorderDxfId="82" totalsRowBorderDxfId="81">
  <autoFilter ref="A7:D17" xr:uid="{80463B2B-140C-4BDB-8DD5-F6096215EFE7}"/>
  <tableColumns count="4">
    <tableColumn id="1" xr3:uid="{0B565F45-DA6F-4EEF-85AF-ADD60104E697}" name="Date" dataDxfId="80"/>
    <tableColumn id="2" xr3:uid="{0080A63F-5189-4A7A-AB81-B9E27425BD4D}" name="Description" dataDxfId="79"/>
    <tableColumn id="3" xr3:uid="{89F8AE81-8867-4541-B9E9-E35E4C0A2E09}" name="Amount" dataDxfId="78"/>
    <tableColumn id="4" xr3:uid="{E7A0F857-9959-44E1-8B8B-49A1EE7F041E}" name="Paid By" dataDxfId="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76" tableBorderDxfId="75" totalsRowBorderDxfId="74">
  <autoFilter ref="A48:D67" xr:uid="{AE116159-1DBD-4123-96D0-93E844246614}"/>
  <tableColumns count="4">
    <tableColumn id="1" xr3:uid="{66E00E51-43A2-4714-8E5C-882A222904F3}" name="Date" dataDxfId="73"/>
    <tableColumn id="2" xr3:uid="{507BCBF0-20F5-49ED-A5E1-BD673E453407}" name="Description" dataDxfId="72"/>
    <tableColumn id="3" xr3:uid="{5E9B76AA-AE15-4960-B42E-6F110B0CEFD4}" name="Amount" dataDxfId="71"/>
    <tableColumn id="4" xr3:uid="{48AB9063-7368-4860-A954-1D7A93423AE1}" name="Paid By" dataDxfId="7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69" tableBorderDxfId="68" totalsRowBorderDxfId="67">
  <autoFilter ref="A74:D93" xr:uid="{D5990EA5-D9FB-41E4-A41E-B554EA0F7056}"/>
  <tableColumns count="4">
    <tableColumn id="1" xr3:uid="{C3151432-51C8-4F7A-AAB1-ECE32E6F26EA}" name="Date" dataDxfId="66"/>
    <tableColumn id="2" xr3:uid="{BA683DCC-2202-42C2-8332-25828627BDFD}" name="Description" dataDxfId="65"/>
    <tableColumn id="3" xr3:uid="{69027624-E136-4778-BF17-5F801BDAA37B}" name="Amount" dataDxfId="64"/>
    <tableColumn id="4" xr3:uid="{21FEFFF2-0B0E-4FA5-8FCB-5DC9B0DF15CF}" name="Paid By" dataDxfId="6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62" tableBorderDxfId="61" totalsRowBorderDxfId="60">
  <autoFilter ref="A20:D34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SUM(C8:C20)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55" tableBorderDxfId="54" totalsRowBorderDxfId="53">
  <autoFilter ref="A7:D13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48" tableBorderDxfId="47" totalsRowBorderDxfId="46">
  <autoFilter ref="A43:D62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opLeftCell="A111" zoomScale="70" zoomScaleNormal="70" workbookViewId="0">
      <selection activeCell="C123" sqref="C123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11.886718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7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7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7" ht="24.6" thickTop="1" thickBot="1" x14ac:dyDescent="0.35">
      <c r="A85" s="163"/>
      <c r="B85" s="145"/>
      <c r="C85" s="54"/>
      <c r="D85" s="55"/>
      <c r="E85" s="49"/>
      <c r="F85" s="69"/>
    </row>
    <row r="86" spans="1:7" ht="24.6" thickTop="1" thickBot="1" x14ac:dyDescent="0.35">
      <c r="A86" s="163"/>
      <c r="B86" s="145"/>
      <c r="C86" s="54"/>
      <c r="D86" s="55"/>
      <c r="E86" s="49"/>
      <c r="F86" s="69"/>
    </row>
    <row r="87" spans="1:7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3"/>
      <c r="B88" s="145"/>
      <c r="C88" s="65"/>
      <c r="D88" s="55"/>
      <c r="E88" s="55"/>
      <c r="F88" s="132"/>
    </row>
    <row r="89" spans="1:7" ht="24.6" thickTop="1" thickBot="1" x14ac:dyDescent="0.35">
      <c r="A89" s="163"/>
      <c r="B89" s="144"/>
      <c r="C89" s="66"/>
      <c r="D89" s="50"/>
      <c r="E89" s="50"/>
      <c r="F89" s="128"/>
    </row>
    <row r="90" spans="1:7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3"/>
      <c r="B91" s="143"/>
      <c r="C91" s="10" t="s">
        <v>215</v>
      </c>
      <c r="D91" s="136">
        <v>389.94</v>
      </c>
      <c r="E91" s="47">
        <f>'August 2026'!C72</f>
        <v>171.16666666666666</v>
      </c>
      <c r="F91" s="69" t="s">
        <v>165</v>
      </c>
    </row>
    <row r="92" spans="1:7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</row>
    <row r="93" spans="1:7" ht="24.6" thickTop="1" thickBot="1" x14ac:dyDescent="0.35">
      <c r="A93" s="163"/>
      <c r="B93" s="145"/>
      <c r="C93" s="22"/>
      <c r="D93" s="53"/>
      <c r="E93" s="47">
        <v>-389.94</v>
      </c>
      <c r="F93" s="69" t="s">
        <v>214</v>
      </c>
    </row>
    <row r="94" spans="1:7" ht="24.6" thickTop="1" thickBot="1" x14ac:dyDescent="0.35">
      <c r="A94" s="163"/>
      <c r="B94" s="145"/>
      <c r="C94" s="22"/>
      <c r="D94" s="53"/>
      <c r="E94" s="47"/>
      <c r="F94" s="69"/>
    </row>
    <row r="95" spans="1:7" ht="24.6" thickTop="1" thickBot="1" x14ac:dyDescent="0.35">
      <c r="A95" s="163"/>
      <c r="B95" s="145"/>
      <c r="C95" s="22"/>
      <c r="D95" s="53"/>
      <c r="E95" s="47"/>
      <c r="G95" s="138">
        <f>SUM(E91:E94)</f>
        <v>-263.47333333333336</v>
      </c>
    </row>
    <row r="96" spans="1:7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/>
      <c r="E99" s="49">
        <f>'September 2026'!C75</f>
        <v>105.70333333333333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0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/>
      <c r="F101" s="69"/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105.70333333333333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-261.3353652968018</v>
      </c>
      <c r="E124" s="70">
        <f>SUM(E5:E116)</f>
        <v>105.69833333333334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opLeftCell="A88" zoomScale="85" zoomScaleNormal="85" workbookViewId="0">
      <selection activeCell="C99" sqref="C99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60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6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/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105.70333333333333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/>
      <c r="F85" s="124"/>
      <c r="G85" s="139">
        <f>SUM(E83:E84)</f>
        <v>105.70333333333333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-2014.0853652968021</v>
      </c>
      <c r="E99" s="70">
        <f>SUM(E6:E95)</f>
        <v>105.70333333333333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topLeftCell="A18" workbookViewId="0">
      <selection activeCell="I25" sqref="I2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17" workbookViewId="0">
      <selection activeCell="I22" sqref="I22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46271</v>
      </c>
      <c r="B21" s="5" t="s">
        <v>216</v>
      </c>
      <c r="C21" s="24">
        <v>2</v>
      </c>
      <c r="D21" s="16" t="s">
        <v>138</v>
      </c>
    </row>
    <row r="22" spans="1:4" ht="23.4" x14ac:dyDescent="0.3">
      <c r="A22" s="154">
        <v>46278</v>
      </c>
      <c r="B22" s="5" t="s">
        <v>60</v>
      </c>
      <c r="C22" s="24">
        <v>315.11</v>
      </c>
      <c r="D22" s="16" t="s">
        <v>138</v>
      </c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317.11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317.11</v>
      </c>
    </row>
    <row r="75" spans="2:3" ht="46.8" x14ac:dyDescent="0.3">
      <c r="B75" s="45" t="s">
        <v>125</v>
      </c>
      <c r="C75" s="27">
        <f>C74/3</f>
        <v>105.70333333333333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2026-09-13T06:04:32Z</dcterms:modified>
  <cp:category/>
  <cp:contentStatus/>
</cp:coreProperties>
</file>