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971AED0A-9135-481D-AE9C-915DE3910A53}" xr6:coauthVersionLast="47" xr6:coauthVersionMax="47" xr10:uidLastSave="{00000000-0000-0000-0000-000000000000}"/>
  <bookViews>
    <workbookView xWindow="-108" yWindow="-108" windowWidth="23256" windowHeight="12456" firstSheet="10" activeTab="16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29" l="1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4" i="27" l="1"/>
  <c r="C75" i="27" s="1"/>
  <c r="G23" i="28"/>
  <c r="G10" i="28"/>
  <c r="C71" i="26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<sst xmlns="http://schemas.openxmlformats.org/spreadsheetml/2006/main" count="753" uniqueCount="218">
  <si>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</si>
  <si>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</si>
  <si>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</si>
  <si>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</si>
  <si>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</si>
  <si>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</si>
  <si>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</si>
  <si>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</si>
  <si>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</si>
  <si>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</si>
  <si>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</si>
  <si>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</si>
  <si>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</si>
  <si>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</si>
  <si>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</si>
  <si>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</si>
  <si>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</si>
  <si>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</si>
  <si>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</si>
  <si>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</si>
  <si>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</si>
  <si>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</si>
  <si>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</si>
  <si>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</si>
  <si>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</si>
  <si>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</si>
  <si>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</si>
  <si>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</si>
  <si>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</si>
  <si>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</si>
  <si>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</si>
  <si>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</si>
  <si>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</si>
  <si>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</si>
  <si>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</si>
  <si>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</si>
  <si>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</si>
  <si>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</si>
  <si>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</si>
  <si>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</si>
  <si>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</si>
  <si>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</si>
  <si>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</si>
  <si>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</si>
  <si>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</si>
  <si>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</si>
  <si>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</si>
  <si>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</si>
  <si>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</si>
  <si>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</si>
  <si>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</si>
  <si>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</si>
  <si>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</si>
  <si>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</si>
  <si>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</si>
  <si>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</si>
  <si>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</si>
  <si>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</si>
  <si>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</si>
  <si>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</si>
  <si>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</si>
  <si>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</si>
  <si>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</si>
  <si>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</si>
  <si>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</si>
  <si>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</si>
  <si>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</si>
  <si>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</si>
  <si>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</si>
  <si>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</si>
  <si>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</si>
  <si>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</si>
  <si>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</si>
  <si>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</si>
  <si>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</si>
  <si>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</si>
  <si>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</si>
  <si>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</si>
  <si>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</si>
  <si>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</si>
  <si>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</si>
  <si>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</si>
  <si>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</si>
  <si>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</si>
  <si>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</si>
  <si>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</si>
  <si>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</si>
  <si>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</si>
  <si>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</si>
  <si>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</si>
  <si>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</si>
  <si>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</si>
  <si>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</si>
  <si>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</si>
  <si>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</si>
  <si>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</si>
  <si>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</si>
  <si>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</si>
  <si>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</si>
  <si>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</si>
  <si>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</si>
  <si>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</si>
  <si>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</si>
  <si>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</si>
  <si>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</si>
  <si>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</si>
  <si>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</si>
  <si>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</si>
  <si>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</si>
  <si>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</si>
  <si>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</si>
  <si>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</si>
  <si>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</si>
  <si>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</si>
  <si>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</si>
  <si>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</si>
  <si>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</si>
  <si>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</si>
  <si>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</si>
  <si>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</si>
  <si>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</si>
  <si>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</si>
  <si>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</si>
  <si>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</si>
  <si>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</si>
  <si>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</si>
  <si>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</si>
  <si>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</si>
  <si>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</si>
  <si>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</si>
  <si>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</si>
  <si>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</si>
  <si>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</si>
  <si>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</si>
  <si>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</si>
  <si>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</si>
  <si>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</si>
  <si>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</si>
  <si>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</si>
  <si>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</si>
  <si>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</si>
  <si>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</si>
  <si>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</si>
  <si>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</si>
  <si>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</si>
  <si>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</si>
  <si>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</si>
  <si>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</si>
  <si>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</si>
  <si>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</si>
  <si>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</si>
  <si>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</si>
  <si>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</si>
  <si>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</si>
  <si>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</si>
  <si>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</si>
  <si>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</si>
  <si>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</si>
  <si>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</si>
  <si>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</si>
  <si>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</si>
  <si>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</si>
  <si>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</si>
  <si>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</si>
  <si>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</si>
  <si>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</si>
  <si>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</si>
  <si>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</si>
  <si>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</si>
  <si>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</si>
  <si>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</si>
  <si>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</si>
  <si>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</si>
  <si>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</si>
  <si>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</si>
  <si>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</si>
  <si>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</si>
  <si>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</si>
  <si>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</si>
  <si>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</si>
  <si>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</si>
  <si>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</si>
  <si>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</si>
  <si>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</si>
  <si>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</si>
  <si>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</si>
  <si>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</si>
  <si>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</si>
  <si>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</si>
  <si>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</si>
  <si>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</si>
  <si>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</si>
  <si>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</si>
  <si>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</si>
  <si>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</si>
  <si>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</si>
  <si>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</si>
  <si>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</si>
  <si>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</si>
  <si>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</si>
  <si>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</si>
  <si>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</si>
  <si>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</si>
  <si>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</si>
  <si>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</si>
  <si>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</si>
  <si>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</si>
  <si>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</si>
  <si>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</si>
  <si>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</si>
  <si>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</si>
  <si>
    <t>دفع لأجار الشقة - 3000 ريال - (2559 + 441)</t>
  </si>
  <si>
    <t>Rental Start</t>
  </si>
  <si>
    <t>دفع من أبو فدوى للعزبة</t>
  </si>
  <si>
    <t>استخدام رصيد من الأجار لدفع العزبة</t>
  </si>
  <si>
    <t>نقل رصيد من الأجار لدفع العزبة</t>
  </si>
  <si>
    <t>ماء</t>
  </si>
  <si>
    <t>تبديل قرب الماي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</si>
</sst>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164" fontId="1" fillId="0" borderId="53" xfId="0" applyNumberFormat="1" applyFont="1" applyBorder="1" applyAlignment="1">
      <alignment horizontal="center" vertical="center"/>
    </xf>
    <xf numFmtId="164" fontId="1" fillId="0" borderId="52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321" tableBorderDxfId="320" totalsRowBorderDxfId="319">
  <autoFilter ref="A20:D34" xr:uid="{6A708C44-F2F5-4584-913D-DD0A472A5F82}"/>
  <tableColumns count="4">
    <tableColumn id="1" xr3:uid="{7CFF2E1C-A49A-460E-9D75-96C7FAF585A6}" name="Date" dataDxfId="318"/>
    <tableColumn id="2" xr3:uid="{DBBE7C3A-9DD4-4CEF-92F8-302E0A0CB7FD}" name="Description" dataDxfId="317"/>
    <tableColumn id="3" xr3:uid="{E8B6E211-200A-4365-BB3F-818CA57588D9}" name="Amount" dataDxfId="316">
      <calculatedColumnFormula>SUM(C8:C20)</calculatedColumnFormula>
    </tableColumn>
    <tableColumn id="4" xr3:uid="{D0796C86-173C-40C5-8DE1-CEB31FF35A1C}" name="Paid By" dataDxfId="31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14" tableBorderDxfId="313" totalsRowBorderDxfId="312">
  <autoFilter ref="A7:D13" xr:uid="{80463B2B-140C-4BDB-8DD5-F6096215EFE7}"/>
  <tableColumns count="4">
    <tableColumn id="1" xr3:uid="{AD4A8155-6689-47BA-B9D9-19AC8BEA4910}" name="Date" dataDxfId="311"/>
    <tableColumn id="2" xr3:uid="{F5FB4B0C-F432-4F80-8182-353140D7D37F}" name="Description" dataDxfId="310"/>
    <tableColumn id="3" xr3:uid="{E19F247C-7FD5-4806-B92F-AEDA88AF36BE}" name="Amount" dataDxfId="309"/>
    <tableColumn id="4" xr3:uid="{18E9AFE3-5BF0-4025-A991-7624AE9448D2}" name="Paid By" dataDxfId="30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307" tableBorderDxfId="306" totalsRowBorderDxfId="305">
  <autoFilter ref="A43:D62" xr:uid="{AE116159-1DBD-4123-96D0-93E844246614}"/>
  <tableColumns count="4">
    <tableColumn id="1" xr3:uid="{CF873077-4146-476A-8EC0-371D9267AB44}" name="Date" dataDxfId="304"/>
    <tableColumn id="2" xr3:uid="{A958E882-171D-4ABA-A091-A28DBF5FBE93}" name="Description" dataDxfId="303"/>
    <tableColumn id="3" xr3:uid="{C9F4DDC4-E0BB-4835-824D-A7D66D93F9CC}" name="Amount" dataDxfId="302"/>
    <tableColumn id="4" xr3:uid="{66EBA8A9-FE81-4155-9FC2-9C0D99AE6AAF}" name="Paid By" dataDxfId="30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5"/>
  <sheetViews>
    <sheetView topLeftCell="A111" zoomScale="70" zoomScaleNormal="70" workbookViewId="0">
      <selection activeCell="C123" sqref="C123"/>
    </sheetView>
  </sheetViews>
  <sheetFormatPr defaultColWidth="9.109375" defaultRowHeight="23.4" x14ac:dyDescent="0.3"/>
  <cols>
    <col min="1" max="1" width="19.21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11.88671875" style="4" bestFit="1" customWidth="1"/>
    <col min="8" max="8" width="20" style="1" customWidth="1"/>
    <col min="9" max="16384" width="9.109375" style="1"/>
  </cols>
  <sheetData>
    <row r="1" spans="1:8" x14ac:dyDescent="0.3">
      <c r="B1" s="164" t="s">
        <v>0</v>
      </c>
      <c r="C1" s="165"/>
      <c r="D1" s="165"/>
      <c r="E1" s="165"/>
      <c r="F1" s="165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6" t="s">
        <v>8</v>
      </c>
      <c r="B5" s="143">
        <v>45943</v>
      </c>
      <c r="C5" s="36" t="s">
        <v>176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3"/>
      <c r="B6" s="148"/>
      <c r="C6" s="10"/>
      <c r="D6" s="47"/>
      <c r="E6" s="47">
        <f>'October 2025'!C85</f>
        <v>221.90333333333331</v>
      </c>
      <c r="F6" s="69" t="s">
        <v>143</v>
      </c>
    </row>
    <row r="7" spans="1:8" ht="24.6" thickTop="1" thickBot="1" x14ac:dyDescent="0.35">
      <c r="A7" s="163"/>
      <c r="B7" s="148"/>
      <c r="C7" s="10"/>
      <c r="D7" s="53"/>
      <c r="E7" s="47">
        <f>'October 2025'!C15*(-1)</f>
        <v>0</v>
      </c>
      <c r="F7" s="69" t="s">
        <v>144</v>
      </c>
    </row>
    <row r="8" spans="1:8" ht="24.6" thickTop="1" thickBot="1" x14ac:dyDescent="0.35">
      <c r="A8" s="163"/>
      <c r="B8" s="143">
        <v>45944</v>
      </c>
      <c r="C8" s="10" t="s">
        <v>141</v>
      </c>
      <c r="D8" s="53">
        <v>-6434</v>
      </c>
      <c r="E8" s="47">
        <v>-222.05</v>
      </c>
      <c r="F8" s="69" t="s">
        <v>142</v>
      </c>
    </row>
    <row r="9" spans="1:8" ht="24.6" thickTop="1" thickBot="1" x14ac:dyDescent="0.35">
      <c r="A9" s="163"/>
      <c r="B9" s="143">
        <v>45956</v>
      </c>
      <c r="C9" s="10" t="s">
        <v>141</v>
      </c>
      <c r="D9" s="53">
        <v>-1469.5</v>
      </c>
      <c r="E9" s="47"/>
      <c r="F9" s="69"/>
    </row>
    <row r="10" spans="1:8" ht="24.6" thickTop="1" thickBot="1" x14ac:dyDescent="0.35">
      <c r="A10" s="163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3"/>
      <c r="B11" s="148"/>
      <c r="C11" s="63"/>
      <c r="D11" s="58"/>
      <c r="E11" s="58"/>
      <c r="F11" s="69"/>
    </row>
    <row r="12" spans="1:8" ht="24.6" thickTop="1" thickBot="1" x14ac:dyDescent="0.35">
      <c r="A12" s="163"/>
      <c r="B12" s="144"/>
      <c r="C12" s="64"/>
      <c r="D12" s="62"/>
      <c r="E12" s="62"/>
      <c r="F12" s="128"/>
    </row>
    <row r="13" spans="1:8" ht="24.6" thickTop="1" thickBot="1" x14ac:dyDescent="0.35">
      <c r="A13" s="163" t="s">
        <v>9</v>
      </c>
      <c r="B13" s="141">
        <v>45962</v>
      </c>
      <c r="C13" s="42" t="s">
        <v>177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3"/>
      <c r="B14" s="147"/>
      <c r="C14" s="33" t="s">
        <v>141</v>
      </c>
      <c r="D14" s="49">
        <v>-1200</v>
      </c>
      <c r="E14" s="49"/>
      <c r="F14" s="130"/>
    </row>
    <row r="15" spans="1:8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31" t="s">
        <v>145</v>
      </c>
    </row>
    <row r="16" spans="1:8" ht="24.6" thickTop="1" thickBot="1" x14ac:dyDescent="0.35">
      <c r="A16" s="163"/>
      <c r="B16" s="143"/>
      <c r="C16" s="33"/>
      <c r="D16" s="49"/>
      <c r="E16" s="49">
        <f>'November 2025'!C13*(-1)</f>
        <v>-54</v>
      </c>
      <c r="F16" s="69" t="s">
        <v>146</v>
      </c>
    </row>
    <row r="17" spans="1:7" ht="24.6" thickTop="1" thickBot="1" x14ac:dyDescent="0.35">
      <c r="A17" s="163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3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3"/>
      <c r="B19" s="145"/>
      <c r="C19" s="65"/>
      <c r="D19" s="55"/>
      <c r="E19" s="55"/>
      <c r="F19" s="132"/>
    </row>
    <row r="20" spans="1:7" ht="24.6" thickTop="1" thickBot="1" x14ac:dyDescent="0.35">
      <c r="A20" s="163"/>
      <c r="B20" s="144"/>
      <c r="C20" s="66"/>
      <c r="D20" s="50"/>
      <c r="E20" s="50"/>
      <c r="F20" s="128"/>
    </row>
    <row r="21" spans="1:7" ht="24.6" thickTop="1" thickBot="1" x14ac:dyDescent="0.35">
      <c r="A21" s="163" t="s">
        <v>10</v>
      </c>
      <c r="B21" s="141">
        <v>45992</v>
      </c>
      <c r="C21" s="36" t="s">
        <v>178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3"/>
      <c r="B22" s="143">
        <v>46016</v>
      </c>
      <c r="C22" s="10" t="s">
        <v>141</v>
      </c>
      <c r="D22" s="47">
        <v>-1200</v>
      </c>
      <c r="E22" s="96"/>
      <c r="F22" s="69"/>
    </row>
    <row r="23" spans="1:7" ht="24.6" thickTop="1" thickBot="1" x14ac:dyDescent="0.35">
      <c r="A23" s="163"/>
      <c r="B23" s="143"/>
      <c r="C23" s="10"/>
      <c r="D23" s="47"/>
      <c r="E23" s="47">
        <f>'December 2025'!C79</f>
        <v>38.603333333333332</v>
      </c>
      <c r="F23" s="131" t="s">
        <v>147</v>
      </c>
    </row>
    <row r="24" spans="1:7" ht="24.6" thickTop="1" thickBot="1" x14ac:dyDescent="0.35">
      <c r="A24" s="163"/>
      <c r="B24" s="143"/>
      <c r="C24" s="10"/>
      <c r="D24" s="47"/>
      <c r="E24" s="47">
        <f>'December 2025'!C13*(-1)</f>
        <v>0</v>
      </c>
      <c r="F24" s="69" t="s">
        <v>148</v>
      </c>
    </row>
    <row r="25" spans="1:7" ht="24.6" thickTop="1" thickBot="1" x14ac:dyDescent="0.35">
      <c r="A25" s="163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3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3"/>
      <c r="B27" s="145"/>
      <c r="C27" s="63"/>
      <c r="D27" s="53"/>
      <c r="E27" s="53"/>
      <c r="F27" s="132"/>
    </row>
    <row r="28" spans="1:7" ht="24.6" thickTop="1" thickBot="1" x14ac:dyDescent="0.35">
      <c r="A28" s="163"/>
      <c r="B28" s="144"/>
      <c r="C28" s="64"/>
      <c r="D28" s="48"/>
      <c r="E28" s="48"/>
      <c r="F28" s="128"/>
    </row>
    <row r="29" spans="1:7" ht="24.6" thickTop="1" thickBot="1" x14ac:dyDescent="0.35">
      <c r="A29" s="163" t="s">
        <v>11</v>
      </c>
      <c r="B29" s="141">
        <v>46023</v>
      </c>
      <c r="C29" s="42" t="s">
        <v>178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3"/>
      <c r="B30" s="143">
        <v>46048</v>
      </c>
      <c r="C30" s="33" t="s">
        <v>141</v>
      </c>
      <c r="D30" s="49">
        <v>-1000</v>
      </c>
      <c r="E30" s="93"/>
      <c r="F30" s="127"/>
    </row>
    <row r="31" spans="1:7" ht="24.6" thickTop="1" thickBot="1" x14ac:dyDescent="0.35">
      <c r="A31" s="163"/>
      <c r="B31" s="143"/>
      <c r="C31" s="33"/>
      <c r="D31" s="49"/>
      <c r="E31" s="49">
        <f>'January 2026'!C79</f>
        <v>65.983333333333334</v>
      </c>
      <c r="F31" s="131" t="s">
        <v>149</v>
      </c>
    </row>
    <row r="32" spans="1:7" ht="24.6" thickTop="1" thickBot="1" x14ac:dyDescent="0.35">
      <c r="A32" s="163"/>
      <c r="B32" s="143"/>
      <c r="C32" s="33"/>
      <c r="D32" s="49"/>
      <c r="E32" s="49">
        <f>'January 2026'!C13*(-1)</f>
        <v>-48.980000000000004</v>
      </c>
      <c r="F32" s="69" t="s">
        <v>150</v>
      </c>
    </row>
    <row r="33" spans="1:7" ht="24.6" thickTop="1" thickBot="1" x14ac:dyDescent="0.35">
      <c r="A33" s="163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3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3"/>
      <c r="B35" s="145"/>
      <c r="C35" s="65"/>
      <c r="D35" s="55"/>
      <c r="E35" s="55"/>
      <c r="F35" s="132"/>
    </row>
    <row r="36" spans="1:7" ht="24.6" thickTop="1" thickBot="1" x14ac:dyDescent="0.35">
      <c r="A36" s="163"/>
      <c r="B36" s="144"/>
      <c r="C36" s="66"/>
      <c r="D36" s="50"/>
      <c r="E36" s="50"/>
      <c r="F36" s="128"/>
    </row>
    <row r="37" spans="1:7" ht="24.6" thickTop="1" thickBot="1" x14ac:dyDescent="0.35">
      <c r="A37" s="163" t="s">
        <v>12</v>
      </c>
      <c r="B37" s="141">
        <v>46054</v>
      </c>
      <c r="C37" s="36" t="s">
        <v>179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3"/>
      <c r="B38" s="147"/>
      <c r="C38" s="10" t="s">
        <v>141</v>
      </c>
      <c r="D38" s="47">
        <v>-732.67</v>
      </c>
      <c r="E38" s="96"/>
      <c r="F38" s="127"/>
    </row>
    <row r="39" spans="1:7" ht="24.6" thickTop="1" thickBot="1" x14ac:dyDescent="0.35">
      <c r="A39" s="163"/>
      <c r="B39" s="143"/>
      <c r="C39" s="10"/>
      <c r="D39" s="47"/>
      <c r="E39" s="47">
        <f>'February 2026'!C79</f>
        <v>139.73333333333335</v>
      </c>
      <c r="F39" s="69" t="s">
        <v>151</v>
      </c>
    </row>
    <row r="40" spans="1:7" ht="24.6" thickTop="1" thickBot="1" x14ac:dyDescent="0.35">
      <c r="A40" s="163"/>
      <c r="B40" s="143"/>
      <c r="C40" s="10"/>
      <c r="D40" s="47"/>
      <c r="E40" s="47">
        <f>'February 2026'!C13*(-1)</f>
        <v>-87.5</v>
      </c>
      <c r="F40" s="69" t="s">
        <v>152</v>
      </c>
    </row>
    <row r="41" spans="1:7" ht="24.6" thickTop="1" thickBot="1" x14ac:dyDescent="0.35">
      <c r="A41" s="163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3"/>
      <c r="B42" s="145"/>
      <c r="C42" s="22"/>
      <c r="D42" s="53"/>
      <c r="E42" s="47">
        <v>20</v>
      </c>
      <c r="F42" s="7" t="s">
        <v>153</v>
      </c>
    </row>
    <row r="43" spans="1:7" ht="24.6" thickTop="1" thickBot="1" x14ac:dyDescent="0.35">
      <c r="A43" s="163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3"/>
      <c r="B44" s="145"/>
      <c r="C44" s="63"/>
      <c r="D44" s="53"/>
      <c r="E44" s="53"/>
      <c r="F44" s="132"/>
    </row>
    <row r="45" spans="1:7" ht="24.6" thickTop="1" thickBot="1" x14ac:dyDescent="0.35">
      <c r="A45" s="163"/>
      <c r="B45" s="144"/>
      <c r="C45" s="64"/>
      <c r="D45" s="48"/>
      <c r="E45" s="48"/>
      <c r="F45" s="128"/>
    </row>
    <row r="46" spans="1:7" ht="24.6" thickTop="1" thickBot="1" x14ac:dyDescent="0.35">
      <c r="A46" s="163" t="s">
        <v>13</v>
      </c>
      <c r="B46" s="141">
        <v>46082</v>
      </c>
      <c r="C46" s="42" t="s">
        <v>178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3"/>
      <c r="B47" s="143"/>
      <c r="C47" s="33"/>
      <c r="D47" s="49"/>
      <c r="E47" s="49">
        <f>'March 2026'!C83</f>
        <v>205.29666666666665</v>
      </c>
      <c r="F47" s="69" t="s">
        <v>154</v>
      </c>
    </row>
    <row r="48" spans="1:7" ht="24.6" thickTop="1" thickBot="1" x14ac:dyDescent="0.35">
      <c r="A48" s="163"/>
      <c r="B48" s="143"/>
      <c r="C48" s="33"/>
      <c r="D48" s="49"/>
      <c r="E48" s="49">
        <f>'March 2026'!C17*(-1)</f>
        <v>-220.14999999999998</v>
      </c>
      <c r="F48" s="69" t="s">
        <v>155</v>
      </c>
    </row>
    <row r="49" spans="1:7" ht="24.6" thickTop="1" thickBot="1" x14ac:dyDescent="0.35">
      <c r="A49" s="163"/>
      <c r="B49" s="145"/>
      <c r="C49" s="54"/>
      <c r="D49" s="55"/>
      <c r="E49" s="49">
        <v>-14</v>
      </c>
      <c r="F49" s="97" t="s">
        <v>156</v>
      </c>
    </row>
    <row r="50" spans="1:7" ht="24.6" thickTop="1" thickBot="1" x14ac:dyDescent="0.35">
      <c r="A50" s="163"/>
      <c r="B50" s="145"/>
      <c r="C50" s="54"/>
      <c r="D50" s="55"/>
      <c r="E50" s="49"/>
      <c r="F50" s="69"/>
    </row>
    <row r="51" spans="1:7" ht="24.6" thickTop="1" thickBot="1" x14ac:dyDescent="0.35">
      <c r="A51" s="163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3"/>
      <c r="B52" s="145"/>
      <c r="C52" s="65"/>
      <c r="D52" s="55"/>
      <c r="E52" s="55"/>
      <c r="F52" s="132"/>
    </row>
    <row r="53" spans="1:7" ht="24.6" thickTop="1" thickBot="1" x14ac:dyDescent="0.35">
      <c r="A53" s="163"/>
      <c r="B53" s="144"/>
      <c r="C53" s="66"/>
      <c r="D53" s="50"/>
      <c r="E53" s="50"/>
      <c r="F53" s="128"/>
    </row>
    <row r="54" spans="1:7" ht="24.6" thickTop="1" thickBot="1" x14ac:dyDescent="0.35">
      <c r="A54" s="163" t="s">
        <v>14</v>
      </c>
      <c r="B54" s="141">
        <v>46113</v>
      </c>
      <c r="C54" s="36" t="s">
        <v>177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3"/>
      <c r="B55" s="143"/>
      <c r="C55" s="10"/>
      <c r="D55" s="47"/>
      <c r="E55" s="47">
        <f>'April 2026'!C83</f>
        <v>67.070000000000007</v>
      </c>
      <c r="F55" s="69" t="s">
        <v>157</v>
      </c>
    </row>
    <row r="56" spans="1:7" ht="24.6" thickTop="1" thickBot="1" x14ac:dyDescent="0.35">
      <c r="A56" s="163"/>
      <c r="B56" s="143"/>
      <c r="C56" s="10"/>
      <c r="D56" s="47"/>
      <c r="E56" s="47">
        <f>'April 2026'!C17*(-1)</f>
        <v>-30</v>
      </c>
      <c r="F56" s="69" t="s">
        <v>158</v>
      </c>
    </row>
    <row r="57" spans="1:7" ht="24.6" thickTop="1" thickBot="1" x14ac:dyDescent="0.35">
      <c r="A57" s="163"/>
      <c r="B57" s="145"/>
      <c r="C57" s="22"/>
      <c r="D57" s="53"/>
      <c r="E57" s="47"/>
      <c r="F57" s="69"/>
    </row>
    <row r="58" spans="1:7" ht="24.6" thickTop="1" thickBot="1" x14ac:dyDescent="0.35">
      <c r="A58" s="163"/>
      <c r="B58" s="145"/>
      <c r="C58" s="22"/>
      <c r="D58" s="53"/>
      <c r="E58" s="47"/>
      <c r="F58" s="69"/>
    </row>
    <row r="59" spans="1:7" ht="24.6" thickTop="1" thickBot="1" x14ac:dyDescent="0.35">
      <c r="A59" s="163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3"/>
      <c r="B60" s="145"/>
      <c r="C60" s="63"/>
      <c r="D60" s="53"/>
      <c r="E60" s="53"/>
      <c r="F60" s="132"/>
    </row>
    <row r="61" spans="1:7" ht="24.6" thickTop="1" thickBot="1" x14ac:dyDescent="0.35">
      <c r="A61" s="163"/>
      <c r="B61" s="144"/>
      <c r="C61" s="64"/>
      <c r="D61" s="48"/>
      <c r="E61" s="48"/>
      <c r="F61" s="128"/>
    </row>
    <row r="62" spans="1:7" ht="24.6" thickTop="1" thickBot="1" x14ac:dyDescent="0.35">
      <c r="A62" s="163" t="s">
        <v>15</v>
      </c>
      <c r="B62" s="146">
        <v>46143</v>
      </c>
      <c r="C62" s="153" t="s">
        <v>180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3"/>
      <c r="B63" s="147">
        <v>46144</v>
      </c>
      <c r="C63" s="33" t="s">
        <v>181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3"/>
      <c r="B64" s="143"/>
      <c r="C64" s="33"/>
      <c r="D64" s="49"/>
      <c r="E64" s="49">
        <f>'May 2026'!C99</f>
        <v>96.914999999999992</v>
      </c>
      <c r="F64" s="69" t="s">
        <v>159</v>
      </c>
    </row>
    <row r="65" spans="1:7" ht="24.6" thickTop="1" thickBot="1" x14ac:dyDescent="0.35">
      <c r="A65" s="163"/>
      <c r="B65" s="143"/>
      <c r="C65" s="33"/>
      <c r="D65" s="49"/>
      <c r="E65" s="49">
        <f>'May 2026'!C17*(-1)</f>
        <v>-67.900000000000006</v>
      </c>
      <c r="F65" s="69" t="s">
        <v>160</v>
      </c>
    </row>
    <row r="66" spans="1:7" ht="24.6" thickTop="1" thickBot="1" x14ac:dyDescent="0.35">
      <c r="A66" s="163"/>
      <c r="B66" s="145"/>
      <c r="C66" s="54"/>
      <c r="D66" s="55"/>
      <c r="E66" s="49"/>
      <c r="F66" s="69"/>
    </row>
    <row r="67" spans="1:7" ht="24.6" thickTop="1" thickBot="1" x14ac:dyDescent="0.35">
      <c r="A67" s="163"/>
      <c r="B67" s="145"/>
      <c r="C67" s="54"/>
      <c r="D67" s="55"/>
      <c r="E67" s="49"/>
      <c r="F67" s="69"/>
    </row>
    <row r="68" spans="1:7" ht="24.6" thickTop="1" thickBot="1" x14ac:dyDescent="0.35">
      <c r="A68" s="163"/>
      <c r="B68" s="145"/>
      <c r="C68" s="54"/>
      <c r="D68" s="55"/>
      <c r="E68" s="49"/>
      <c r="F68" s="69"/>
    </row>
    <row r="69" spans="1:7" ht="24.6" thickTop="1" thickBot="1" x14ac:dyDescent="0.35">
      <c r="A69" s="163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3"/>
      <c r="B70" s="145"/>
      <c r="C70" s="65"/>
      <c r="D70" s="55"/>
      <c r="E70" s="55"/>
      <c r="F70" s="132"/>
    </row>
    <row r="71" spans="1:7" ht="24.6" thickTop="1" thickBot="1" x14ac:dyDescent="0.35">
      <c r="A71" s="163"/>
      <c r="B71" s="144"/>
      <c r="C71" s="66"/>
      <c r="D71" s="50"/>
      <c r="E71" s="50"/>
      <c r="F71" s="128"/>
    </row>
    <row r="72" spans="1:7" ht="24.6" thickTop="1" thickBot="1" x14ac:dyDescent="0.35">
      <c r="A72" s="163" t="s">
        <v>16</v>
      </c>
      <c r="B72" s="141">
        <v>46174</v>
      </c>
      <c r="C72" s="36" t="s">
        <v>181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3"/>
      <c r="B73" s="143"/>
      <c r="C73" s="10"/>
      <c r="D73" s="47"/>
      <c r="E73" s="47">
        <f>'June 2026'!C98</f>
        <v>123.41500000000001</v>
      </c>
      <c r="F73" s="69" t="s">
        <v>161</v>
      </c>
    </row>
    <row r="74" spans="1:7" ht="24.6" thickTop="1" thickBot="1" x14ac:dyDescent="0.35">
      <c r="A74" s="163"/>
      <c r="B74" s="143"/>
      <c r="C74" s="10"/>
      <c r="D74" s="47"/>
      <c r="E74" s="47">
        <f>'June 2026'!C17*(-1)</f>
        <v>-23.98</v>
      </c>
      <c r="F74" s="69" t="s">
        <v>162</v>
      </c>
    </row>
    <row r="75" spans="1:7" ht="24.6" thickTop="1" thickBot="1" x14ac:dyDescent="0.35">
      <c r="A75" s="163"/>
      <c r="B75" s="145"/>
      <c r="C75" s="22"/>
      <c r="D75" s="53"/>
      <c r="E75" s="47"/>
      <c r="F75" s="69"/>
    </row>
    <row r="76" spans="1:7" ht="24.6" thickTop="1" thickBot="1" x14ac:dyDescent="0.35">
      <c r="A76" s="163"/>
      <c r="B76" s="145"/>
      <c r="C76" s="22"/>
      <c r="D76" s="53"/>
      <c r="E76" s="47"/>
      <c r="F76" s="69"/>
    </row>
    <row r="77" spans="1:7" ht="24.6" thickTop="1" thickBot="1" x14ac:dyDescent="0.35">
      <c r="A77" s="163"/>
      <c r="B77" s="145"/>
      <c r="C77" s="22"/>
      <c r="D77" s="53"/>
      <c r="E77" s="47"/>
      <c r="F77" s="69"/>
    </row>
    <row r="78" spans="1:7" ht="24.6" thickTop="1" thickBot="1" x14ac:dyDescent="0.35">
      <c r="A78" s="163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3"/>
      <c r="B79" s="145"/>
      <c r="C79" s="63"/>
      <c r="D79" s="53"/>
      <c r="E79" s="53"/>
      <c r="F79" s="132"/>
    </row>
    <row r="80" spans="1:7" ht="24.6" thickTop="1" thickBot="1" x14ac:dyDescent="0.35">
      <c r="A80" s="163"/>
      <c r="B80" s="144"/>
      <c r="C80" s="64"/>
      <c r="D80" s="48"/>
      <c r="E80" s="48"/>
      <c r="F80" s="128"/>
    </row>
    <row r="81" spans="1:7" ht="24.6" thickTop="1" thickBot="1" x14ac:dyDescent="0.35">
      <c r="A81" s="163" t="s">
        <v>17</v>
      </c>
      <c r="B81" s="141">
        <v>46204</v>
      </c>
      <c r="C81" s="42" t="s">
        <v>186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3"/>
      <c r="B82" s="147"/>
      <c r="C82" s="114" t="s">
        <v>190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3"/>
      <c r="B83" s="143"/>
      <c r="C83" s="114"/>
      <c r="D83" s="49"/>
      <c r="E83" s="49">
        <f>'July 2026'!C99</f>
        <v>114.015</v>
      </c>
      <c r="F83" s="69" t="s">
        <v>163</v>
      </c>
    </row>
    <row r="84" spans="1:7" ht="24.6" thickTop="1" thickBot="1" x14ac:dyDescent="0.35">
      <c r="A84" s="163"/>
      <c r="B84" s="143"/>
      <c r="C84" s="33"/>
      <c r="D84" s="49"/>
      <c r="E84" s="49">
        <f>'July 2026'!C17*(-1)</f>
        <v>0</v>
      </c>
      <c r="F84" s="69" t="s">
        <v>164</v>
      </c>
    </row>
    <row r="85" spans="1:7" ht="24.6" thickTop="1" thickBot="1" x14ac:dyDescent="0.35">
      <c r="A85" s="163"/>
      <c r="B85" s="145"/>
      <c r="C85" s="54"/>
      <c r="D85" s="55"/>
      <c r="E85" s="49"/>
      <c r="F85" s="69"/>
    </row>
    <row r="86" spans="1:7" ht="24.6" thickTop="1" thickBot="1" x14ac:dyDescent="0.35">
      <c r="A86" s="163"/>
      <c r="B86" s="145"/>
      <c r="C86" s="54"/>
      <c r="D86" s="55"/>
      <c r="E86" s="49"/>
      <c r="F86" s="69"/>
    </row>
    <row r="87" spans="1:7" ht="24.6" thickTop="1" thickBot="1" x14ac:dyDescent="0.35">
      <c r="A87" s="163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3"/>
      <c r="B88" s="145"/>
      <c r="C88" s="65"/>
      <c r="D88" s="55"/>
      <c r="E88" s="55"/>
      <c r="F88" s="132"/>
    </row>
    <row r="89" spans="1:7" ht="24.6" thickTop="1" thickBot="1" x14ac:dyDescent="0.35">
      <c r="A89" s="163"/>
      <c r="B89" s="144"/>
      <c r="C89" s="66"/>
      <c r="D89" s="50"/>
      <c r="E89" s="50"/>
      <c r="F89" s="128"/>
    </row>
    <row r="90" spans="1:7" ht="24.6" thickTop="1" thickBot="1" x14ac:dyDescent="0.35">
      <c r="A90" s="163" t="s">
        <v>18</v>
      </c>
      <c r="B90" s="141">
        <v>46235</v>
      </c>
      <c r="C90" s="36" t="s">
        <v>182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3"/>
      <c r="B91" s="143"/>
      <c r="C91" s="10" t="s">
        <v>215</v>
      </c>
      <c r="D91" s="136">
        <v>389.94</v>
      </c>
      <c r="E91" s="47">
        <f>'August 2026'!C72</f>
        <v>171.16666666666666</v>
      </c>
      <c r="F91" s="69" t="s">
        <v>165</v>
      </c>
    </row>
    <row r="92" spans="1:7" ht="24.6" thickTop="1" thickBot="1" x14ac:dyDescent="0.35">
      <c r="A92" s="163"/>
      <c r="B92" s="143"/>
      <c r="C92" s="10"/>
      <c r="D92" s="47"/>
      <c r="E92" s="47">
        <f>'August 2026'!C13*(-1)</f>
        <v>-44.7</v>
      </c>
      <c r="F92" s="69" t="s">
        <v>166</v>
      </c>
    </row>
    <row r="93" spans="1:7" ht="24.6" thickTop="1" thickBot="1" x14ac:dyDescent="0.35">
      <c r="A93" s="163"/>
      <c r="B93" s="145"/>
      <c r="C93" s="22"/>
      <c r="D93" s="53"/>
      <c r="E93" s="47">
        <v>-389.94</v>
      </c>
      <c r="F93" s="69" t="s">
        <v>214</v>
      </c>
    </row>
    <row r="94" spans="1:7" ht="24.6" thickTop="1" thickBot="1" x14ac:dyDescent="0.35">
      <c r="A94" s="163"/>
      <c r="B94" s="145"/>
      <c r="C94" s="22"/>
      <c r="D94" s="53"/>
      <c r="E94" s="47"/>
      <c r="F94" s="69"/>
    </row>
    <row r="95" spans="1:7" ht="24.6" thickTop="1" thickBot="1" x14ac:dyDescent="0.35">
      <c r="A95" s="163"/>
      <c r="B95" s="145"/>
      <c r="C95" s="22"/>
      <c r="D95" s="53"/>
      <c r="E95" s="47"/>
      <c r="G95" s="138">
        <f>SUM(E91:E94)</f>
        <v>-263.47333333333336</v>
      </c>
    </row>
    <row r="96" spans="1:7" ht="24.6" thickTop="1" thickBot="1" x14ac:dyDescent="0.35">
      <c r="A96" s="163"/>
      <c r="B96" s="145"/>
      <c r="C96" s="63"/>
      <c r="D96" s="53"/>
      <c r="E96" s="53"/>
      <c r="F96" s="132"/>
    </row>
    <row r="97" spans="1:7" ht="24.6" thickTop="1" thickBot="1" x14ac:dyDescent="0.35">
      <c r="A97" s="163"/>
      <c r="B97" s="144"/>
      <c r="C97" s="64"/>
      <c r="D97" s="48"/>
      <c r="E97" s="48"/>
      <c r="F97" s="128"/>
    </row>
    <row r="98" spans="1:7" ht="24.6" thickTop="1" thickBot="1" x14ac:dyDescent="0.35">
      <c r="A98" s="163" t="s">
        <v>19</v>
      </c>
      <c r="B98" s="141">
        <v>46266</v>
      </c>
      <c r="C98" s="42" t="s">
        <v>181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3"/>
      <c r="B99" s="143"/>
      <c r="C99" s="33"/>
      <c r="D99" s="49"/>
      <c r="E99" s="49">
        <f>'September 2026'!C75</f>
        <v>111.03666666666668</v>
      </c>
      <c r="F99" s="69" t="s">
        <v>167</v>
      </c>
    </row>
    <row r="100" spans="1:7" ht="24.6" thickTop="1" thickBot="1" x14ac:dyDescent="0.35">
      <c r="A100" s="163"/>
      <c r="B100" s="143"/>
      <c r="C100" s="33"/>
      <c r="D100" s="49"/>
      <c r="E100" s="49">
        <f>'September 2026'!C13*(-1)</f>
        <v>-16</v>
      </c>
      <c r="F100" s="69" t="s">
        <v>168</v>
      </c>
    </row>
    <row r="101" spans="1:7" ht="24.6" thickTop="1" thickBot="1" x14ac:dyDescent="0.35">
      <c r="A101" s="163"/>
      <c r="B101" s="145"/>
      <c r="C101" s="54"/>
      <c r="D101" s="55"/>
      <c r="E101" s="49"/>
      <c r="F101" s="69"/>
    </row>
    <row r="102" spans="1:7" ht="24.6" thickTop="1" thickBot="1" x14ac:dyDescent="0.35">
      <c r="A102" s="163"/>
      <c r="B102" s="145"/>
      <c r="C102" s="54"/>
      <c r="D102" s="55"/>
      <c r="E102" s="49"/>
      <c r="F102" s="69"/>
    </row>
    <row r="103" spans="1:7" ht="24.6" thickTop="1" thickBot="1" x14ac:dyDescent="0.35">
      <c r="A103" s="163"/>
      <c r="B103" s="145"/>
      <c r="C103" s="54"/>
      <c r="D103" s="55"/>
      <c r="E103" s="49"/>
      <c r="G103" s="138">
        <f>SUM(E99:E102)</f>
        <v>95.036666666666676</v>
      </c>
    </row>
    <row r="104" spans="1:7" ht="24.6" thickTop="1" thickBot="1" x14ac:dyDescent="0.35">
      <c r="A104" s="163"/>
      <c r="B104" s="145"/>
      <c r="C104" s="65"/>
      <c r="D104" s="55"/>
      <c r="E104" s="55"/>
      <c r="F104" s="69"/>
    </row>
    <row r="105" spans="1:7" ht="24.6" thickTop="1" thickBot="1" x14ac:dyDescent="0.35">
      <c r="A105" s="167"/>
      <c r="B105" s="144"/>
      <c r="C105" s="66"/>
      <c r="D105" s="50"/>
      <c r="E105" s="50"/>
      <c r="F105" s="128"/>
    </row>
    <row r="106" spans="1:7" ht="24.6" thickTop="1" thickBot="1" x14ac:dyDescent="0.35">
      <c r="A106" s="163" t="s">
        <v>8</v>
      </c>
      <c r="B106" s="141">
        <v>46296</v>
      </c>
      <c r="C106" s="36" t="s">
        <v>183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3"/>
      <c r="B107" s="143"/>
      <c r="C107" s="10"/>
      <c r="D107" s="47"/>
      <c r="E107" s="47">
        <f>'October 2026'!C73</f>
        <v>0</v>
      </c>
      <c r="F107" s="69" t="s">
        <v>169</v>
      </c>
    </row>
    <row r="108" spans="1:7" ht="24.6" thickTop="1" thickBot="1" x14ac:dyDescent="0.35">
      <c r="A108" s="163"/>
      <c r="B108" s="143"/>
      <c r="C108" s="10"/>
      <c r="D108" s="47"/>
      <c r="E108" s="47">
        <f>'October 2026'!C13*(-1)</f>
        <v>0</v>
      </c>
      <c r="F108" s="69" t="s">
        <v>170</v>
      </c>
    </row>
    <row r="109" spans="1:7" ht="24.6" thickTop="1" thickBot="1" x14ac:dyDescent="0.35">
      <c r="A109" s="163"/>
      <c r="B109" s="145"/>
      <c r="C109" s="22"/>
      <c r="D109" s="53"/>
      <c r="E109" s="47"/>
      <c r="F109" s="69"/>
    </row>
    <row r="110" spans="1:7" ht="24.6" thickTop="1" thickBot="1" x14ac:dyDescent="0.35">
      <c r="A110" s="163"/>
      <c r="B110" s="145"/>
      <c r="C110" s="22"/>
      <c r="D110" s="53"/>
      <c r="E110" s="47"/>
      <c r="F110" s="69"/>
    </row>
    <row r="111" spans="1:7" ht="24.6" thickTop="1" thickBot="1" x14ac:dyDescent="0.35">
      <c r="A111" s="163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3"/>
      <c r="B112" s="145"/>
      <c r="C112" s="63"/>
      <c r="D112" s="53"/>
      <c r="E112" s="53"/>
      <c r="F112" s="132"/>
    </row>
    <row r="113" spans="1:6" ht="24.6" thickTop="1" thickBot="1" x14ac:dyDescent="0.35">
      <c r="A113" s="163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x14ac:dyDescent="0.3">
      <c r="B120" s="149"/>
      <c r="D120" s="52"/>
    </row>
    <row r="121" spans="1:6" x14ac:dyDescent="0.3">
      <c r="A121" s="4"/>
      <c r="B121" s="162"/>
      <c r="D121" s="52"/>
    </row>
    <row r="122" spans="1:6" ht="24" thickBot="1" x14ac:dyDescent="0.35">
      <c r="A122" s="4"/>
      <c r="B122" s="162"/>
      <c r="D122" s="52"/>
    </row>
    <row r="123" spans="1:6" ht="48" thickTop="1" thickBot="1" x14ac:dyDescent="0.35">
      <c r="A123" s="99" t="s">
        <v>212</v>
      </c>
      <c r="B123" s="100">
        <v>45944</v>
      </c>
      <c r="D123" s="70" t="s">
        <v>20</v>
      </c>
      <c r="E123" s="71" t="s">
        <v>21</v>
      </c>
    </row>
    <row r="124" spans="1:6" ht="24.6" thickTop="1" thickBot="1" x14ac:dyDescent="0.5">
      <c r="A124" s="99" t="s">
        <v>70</v>
      </c>
      <c r="B124" s="100">
        <v>46308</v>
      </c>
      <c r="C124" s="6"/>
      <c r="D124" s="70">
        <f>SUM(D5:D115)</f>
        <v>-261.3353652968018</v>
      </c>
      <c r="E124" s="70">
        <f>SUM(E5:E116)</f>
        <v>95.03166666666668</v>
      </c>
    </row>
    <row r="125" spans="1:6" ht="24" thickTop="1" x14ac:dyDescent="0.3"/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2"/>
  <sheetViews>
    <sheetView topLeftCell="A88" zoomScale="85" zoomScaleNormal="85" workbookViewId="0">
      <selection activeCell="C99" sqref="C99"/>
    </sheetView>
  </sheetViews>
  <sheetFormatPr defaultColWidth="9.109375" defaultRowHeight="23.4" x14ac:dyDescent="0.3"/>
  <cols>
    <col min="1" max="1" width="19.886718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5" t="s">
        <v>172</v>
      </c>
      <c r="C1" s="165"/>
      <c r="D1" s="165"/>
      <c r="E1" s="165"/>
      <c r="F1" s="165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6" t="s">
        <v>8</v>
      </c>
      <c r="B5" s="141">
        <v>45931</v>
      </c>
      <c r="C5" s="36" t="s">
        <v>176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8"/>
      <c r="B6" s="142"/>
      <c r="C6" s="98" t="s">
        <v>171</v>
      </c>
      <c r="D6" s="102">
        <v>-3611.74</v>
      </c>
      <c r="E6" s="47"/>
      <c r="F6" s="107"/>
    </row>
    <row r="7" spans="1:7" ht="24.6" thickTop="1" thickBot="1" x14ac:dyDescent="0.35">
      <c r="A7" s="168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3"/>
      <c r="B8" s="143"/>
      <c r="C8" s="103"/>
      <c r="D8" s="75"/>
      <c r="E8" s="136">
        <f>'October 2025'!C85</f>
        <v>221.90333333333331</v>
      </c>
      <c r="F8" s="107" t="s">
        <v>143</v>
      </c>
    </row>
    <row r="9" spans="1:7" ht="24.6" thickTop="1" thickBot="1" x14ac:dyDescent="0.35">
      <c r="A9" s="163"/>
      <c r="B9" s="143"/>
      <c r="C9" s="59"/>
      <c r="D9" s="47"/>
      <c r="E9" s="136">
        <f>'October 2025'!C68*(-1)</f>
        <v>0</v>
      </c>
      <c r="F9" s="107" t="s">
        <v>144</v>
      </c>
    </row>
    <row r="10" spans="1:7" ht="24.6" thickTop="1" thickBot="1" x14ac:dyDescent="0.35">
      <c r="A10" s="163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3"/>
      <c r="B11" s="144"/>
      <c r="C11" s="64"/>
      <c r="D11" s="104"/>
      <c r="E11" s="62"/>
      <c r="F11" s="117" t="s">
        <v>137</v>
      </c>
    </row>
    <row r="12" spans="1:7" ht="24.6" thickTop="1" thickBot="1" x14ac:dyDescent="0.35">
      <c r="A12" s="163" t="s">
        <v>9</v>
      </c>
      <c r="B12" s="141">
        <v>45962</v>
      </c>
      <c r="C12" s="42" t="s">
        <v>177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3"/>
      <c r="B13" s="145">
        <v>45981</v>
      </c>
      <c r="C13" s="33" t="s">
        <v>141</v>
      </c>
      <c r="D13" s="55">
        <v>-500</v>
      </c>
      <c r="E13" s="55"/>
      <c r="F13" s="119"/>
    </row>
    <row r="14" spans="1:7" ht="24.6" thickTop="1" thickBot="1" x14ac:dyDescent="0.35">
      <c r="A14" s="163"/>
      <c r="B14" s="145">
        <v>45987</v>
      </c>
      <c r="C14" s="33" t="s">
        <v>141</v>
      </c>
      <c r="D14" s="55">
        <v>-1000</v>
      </c>
      <c r="E14" s="55"/>
      <c r="F14" s="119"/>
    </row>
    <row r="15" spans="1:7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20" t="s">
        <v>145</v>
      </c>
    </row>
    <row r="16" spans="1:7" ht="24.6" thickTop="1" thickBot="1" x14ac:dyDescent="0.35">
      <c r="A16" s="163"/>
      <c r="B16" s="143"/>
      <c r="C16" s="33"/>
      <c r="D16" s="49"/>
      <c r="E16" s="49">
        <f>'November 2025'!C61*(-1)</f>
        <v>-33.5</v>
      </c>
      <c r="F16" s="107" t="s">
        <v>146</v>
      </c>
    </row>
    <row r="17" spans="1:11" ht="24.6" thickTop="1" thickBot="1" x14ac:dyDescent="0.35">
      <c r="A17" s="163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3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3"/>
      <c r="B19" s="144"/>
      <c r="C19" s="66"/>
      <c r="D19" s="50"/>
      <c r="E19" s="50"/>
      <c r="F19" s="117" t="s">
        <v>137</v>
      </c>
    </row>
    <row r="20" spans="1:11" ht="24.6" thickTop="1" thickBot="1" x14ac:dyDescent="0.35">
      <c r="A20" s="163" t="s">
        <v>10</v>
      </c>
      <c r="B20" s="141">
        <v>45992</v>
      </c>
      <c r="C20" s="36" t="s">
        <v>178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3"/>
      <c r="B21" s="143"/>
      <c r="C21" s="10"/>
      <c r="D21" s="47"/>
      <c r="E21" s="47">
        <f>'December 2025'!C79</f>
        <v>38.603333333333332</v>
      </c>
      <c r="F21" s="120" t="s">
        <v>147</v>
      </c>
    </row>
    <row r="22" spans="1:11" ht="24.6" thickTop="1" thickBot="1" x14ac:dyDescent="0.35">
      <c r="A22" s="163"/>
      <c r="B22" s="143"/>
      <c r="C22" s="10"/>
      <c r="D22" s="47"/>
      <c r="E22" s="47">
        <f>'December 2025'!C62*(-1)</f>
        <v>0</v>
      </c>
      <c r="F22" s="107" t="s">
        <v>148</v>
      </c>
    </row>
    <row r="23" spans="1:11" ht="24.6" thickTop="1" thickBot="1" x14ac:dyDescent="0.35">
      <c r="A23" s="163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3"/>
      <c r="B24" s="144"/>
      <c r="C24" s="64"/>
      <c r="D24" s="48"/>
      <c r="E24" s="48"/>
      <c r="F24" s="117" t="s">
        <v>137</v>
      </c>
      <c r="J24" s="4"/>
      <c r="K24" s="4"/>
    </row>
    <row r="25" spans="1:11" ht="24.6" thickTop="1" thickBot="1" x14ac:dyDescent="0.35">
      <c r="A25" s="163" t="s">
        <v>11</v>
      </c>
      <c r="B25" s="141">
        <v>46023</v>
      </c>
      <c r="C25" s="42" t="s">
        <v>178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3"/>
      <c r="B26" s="143">
        <v>46047</v>
      </c>
      <c r="C26" s="33" t="s">
        <v>141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3"/>
      <c r="B27" s="143"/>
      <c r="C27" s="33"/>
      <c r="D27" s="49"/>
      <c r="E27" s="49">
        <f>'January 2026'!C79</f>
        <v>65.983333333333334</v>
      </c>
      <c r="F27" s="120" t="s">
        <v>149</v>
      </c>
    </row>
    <row r="28" spans="1:11" ht="24.6" thickTop="1" thickBot="1" x14ac:dyDescent="0.35">
      <c r="A28" s="163"/>
      <c r="B28" s="143"/>
      <c r="C28" s="33"/>
      <c r="D28" s="49"/>
      <c r="E28" s="49">
        <f>'January 2026'!C62*(-1)</f>
        <v>-50</v>
      </c>
      <c r="F28" s="107" t="s">
        <v>150</v>
      </c>
    </row>
    <row r="29" spans="1:11" ht="24.6" thickTop="1" thickBot="1" x14ac:dyDescent="0.35">
      <c r="A29" s="163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3"/>
      <c r="B30" s="144"/>
      <c r="C30" s="66"/>
      <c r="D30" s="50"/>
      <c r="E30" s="50"/>
      <c r="F30" s="117" t="s">
        <v>137</v>
      </c>
    </row>
    <row r="31" spans="1:11" ht="24.6" thickTop="1" thickBot="1" x14ac:dyDescent="0.35">
      <c r="A31" s="163" t="s">
        <v>12</v>
      </c>
      <c r="B31" s="146">
        <v>46054</v>
      </c>
      <c r="C31" s="36" t="s">
        <v>179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3"/>
      <c r="B32" s="147">
        <v>46054</v>
      </c>
      <c r="C32" s="10"/>
      <c r="D32" s="47"/>
      <c r="E32" s="47">
        <f>'February 2026'!C79</f>
        <v>139.73333333333335</v>
      </c>
      <c r="F32" s="107" t="s">
        <v>151</v>
      </c>
    </row>
    <row r="33" spans="1:7" ht="24.6" thickTop="1" thickBot="1" x14ac:dyDescent="0.35">
      <c r="A33" s="163"/>
      <c r="B33" s="143"/>
      <c r="C33" s="10"/>
      <c r="D33" s="47"/>
      <c r="E33" s="47">
        <f>'February 2026'!C62*(-1)</f>
        <v>-90</v>
      </c>
      <c r="F33" s="107" t="s">
        <v>152</v>
      </c>
    </row>
    <row r="34" spans="1:7" ht="24.6" thickTop="1" thickBot="1" x14ac:dyDescent="0.35">
      <c r="A34" s="163"/>
      <c r="B34" s="145"/>
      <c r="C34" s="22"/>
      <c r="D34" s="53"/>
      <c r="E34" s="47">
        <v>-615</v>
      </c>
      <c r="F34" s="107" t="s">
        <v>213</v>
      </c>
    </row>
    <row r="35" spans="1:7" ht="24.6" thickTop="1" thickBot="1" x14ac:dyDescent="0.35">
      <c r="A35" s="163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3"/>
      <c r="B36" s="144"/>
      <c r="C36" s="63"/>
      <c r="D36" s="48"/>
      <c r="E36" s="48"/>
      <c r="F36" s="117" t="s">
        <v>137</v>
      </c>
    </row>
    <row r="37" spans="1:7" ht="24.6" thickTop="1" thickBot="1" x14ac:dyDescent="0.35">
      <c r="A37" s="163" t="s">
        <v>13</v>
      </c>
      <c r="B37" s="141">
        <v>46082</v>
      </c>
      <c r="C37" s="42" t="s">
        <v>178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154</v>
      </c>
    </row>
    <row r="38" spans="1:7" ht="24.6" thickTop="1" thickBot="1" x14ac:dyDescent="0.35">
      <c r="A38" s="163"/>
      <c r="B38" s="143"/>
      <c r="C38" s="33"/>
      <c r="D38" s="49"/>
      <c r="E38" s="49">
        <f>'March 2026'!C66*(-1)</f>
        <v>-26</v>
      </c>
      <c r="F38" s="107" t="s">
        <v>155</v>
      </c>
    </row>
    <row r="39" spans="1:7" ht="24.6" thickTop="1" thickBot="1" x14ac:dyDescent="0.35">
      <c r="A39" s="163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3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3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3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3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3"/>
      <c r="B44" s="144"/>
      <c r="C44" s="66"/>
      <c r="D44" s="50"/>
      <c r="E44" s="50"/>
      <c r="F44" s="117" t="s">
        <v>137</v>
      </c>
    </row>
    <row r="45" spans="1:7" ht="24.6" thickTop="1" thickBot="1" x14ac:dyDescent="0.35">
      <c r="A45" s="163" t="s">
        <v>14</v>
      </c>
      <c r="B45" s="141">
        <v>46113</v>
      </c>
      <c r="C45" s="36" t="s">
        <v>177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3"/>
      <c r="B46" s="143"/>
      <c r="C46" s="10"/>
      <c r="D46" s="47"/>
      <c r="E46" s="47">
        <f>'April 2026'!C83</f>
        <v>67.070000000000007</v>
      </c>
      <c r="F46" s="107" t="s">
        <v>157</v>
      </c>
    </row>
    <row r="47" spans="1:7" ht="24.6" thickTop="1" thickBot="1" x14ac:dyDescent="0.35">
      <c r="A47" s="163"/>
      <c r="B47" s="143"/>
      <c r="C47" s="10"/>
      <c r="D47" s="47"/>
      <c r="E47" s="47">
        <f>'April 2026'!C66*(-1)</f>
        <v>0</v>
      </c>
      <c r="F47" s="107" t="s">
        <v>158</v>
      </c>
    </row>
    <row r="48" spans="1:7" ht="24.6" thickTop="1" thickBot="1" x14ac:dyDescent="0.35">
      <c r="A48" s="163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3"/>
      <c r="B49" s="145"/>
      <c r="C49" s="22"/>
      <c r="D49" s="53"/>
      <c r="E49" s="47">
        <f>17.25/2</f>
        <v>8.625</v>
      </c>
      <c r="F49" s="107" t="s">
        <v>173</v>
      </c>
    </row>
    <row r="50" spans="1:9" ht="24.6" thickTop="1" thickBot="1" x14ac:dyDescent="0.35">
      <c r="A50" s="163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3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3"/>
      <c r="B52" s="144"/>
      <c r="C52" s="64"/>
      <c r="D52" s="48"/>
      <c r="E52" s="48"/>
      <c r="F52" s="117" t="s">
        <v>137</v>
      </c>
      <c r="I52" s="34"/>
    </row>
    <row r="53" spans="1:9" ht="24.6" thickTop="1" thickBot="1" x14ac:dyDescent="0.35">
      <c r="A53" s="163" t="s">
        <v>15</v>
      </c>
      <c r="B53" s="146">
        <v>46143</v>
      </c>
      <c r="C53" s="153" t="s">
        <v>180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3"/>
      <c r="B54" s="147">
        <v>46143</v>
      </c>
      <c r="C54" s="33" t="s">
        <v>181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3"/>
      <c r="B55" s="143">
        <v>46167</v>
      </c>
      <c r="C55" s="33" t="s">
        <v>141</v>
      </c>
      <c r="D55" s="49">
        <v>-4571.92</v>
      </c>
      <c r="E55" s="93"/>
      <c r="F55" s="123"/>
      <c r="I55" s="34"/>
    </row>
    <row r="56" spans="1:9" ht="24.6" thickTop="1" thickBot="1" x14ac:dyDescent="0.35">
      <c r="A56" s="163"/>
      <c r="B56" s="143"/>
      <c r="C56" s="33"/>
      <c r="D56" s="49"/>
      <c r="E56" s="49">
        <f>'May 2026'!C99</f>
        <v>96.914999999999992</v>
      </c>
      <c r="F56" s="107" t="s">
        <v>159</v>
      </c>
    </row>
    <row r="57" spans="1:9" ht="24.6" thickTop="1" thickBot="1" x14ac:dyDescent="0.35">
      <c r="A57" s="163"/>
      <c r="B57" s="143"/>
      <c r="C57" s="54"/>
      <c r="D57" s="49"/>
      <c r="E57" s="49">
        <f>'May 2026'!C66*(-1)</f>
        <v>0</v>
      </c>
      <c r="F57" s="107" t="s">
        <v>160</v>
      </c>
    </row>
    <row r="58" spans="1:9" ht="24.6" thickTop="1" thickBot="1" x14ac:dyDescent="0.35">
      <c r="A58" s="163"/>
      <c r="B58" s="145"/>
      <c r="C58" s="33"/>
      <c r="D58" s="55"/>
      <c r="E58" s="49">
        <v>-669.74</v>
      </c>
      <c r="F58" s="107" t="s">
        <v>213</v>
      </c>
    </row>
    <row r="59" spans="1:9" ht="24.6" thickTop="1" thickBot="1" x14ac:dyDescent="0.35">
      <c r="A59" s="163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3"/>
      <c r="B60" s="145"/>
      <c r="C60" s="65"/>
      <c r="D60" s="55"/>
      <c r="E60" s="55"/>
      <c r="F60" s="125"/>
    </row>
    <row r="61" spans="1:9" ht="24.6" thickTop="1" thickBot="1" x14ac:dyDescent="0.35">
      <c r="A61" s="163"/>
      <c r="B61" s="144"/>
      <c r="C61" s="155"/>
      <c r="D61" s="55"/>
      <c r="E61" s="50"/>
      <c r="F61" s="117" t="s">
        <v>137</v>
      </c>
    </row>
    <row r="62" spans="1:9" ht="24.6" thickTop="1" thickBot="1" x14ac:dyDescent="0.35">
      <c r="A62" s="163" t="s">
        <v>16</v>
      </c>
      <c r="B62" s="141">
        <v>46174</v>
      </c>
      <c r="C62" s="36" t="s">
        <v>182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3"/>
      <c r="B63" s="143"/>
      <c r="C63" s="101"/>
      <c r="D63" s="96"/>
      <c r="E63" s="47">
        <f>'June 2026'!C98</f>
        <v>123.41500000000001</v>
      </c>
      <c r="F63" s="107" t="s">
        <v>161</v>
      </c>
    </row>
    <row r="64" spans="1:9" ht="24.6" thickTop="1" thickBot="1" x14ac:dyDescent="0.35">
      <c r="A64" s="163"/>
      <c r="B64" s="143"/>
      <c r="C64" s="101"/>
      <c r="D64" s="96"/>
      <c r="E64" s="47">
        <f>'June 2026'!C66*(-1)</f>
        <v>-10</v>
      </c>
      <c r="F64" s="107" t="s">
        <v>162</v>
      </c>
    </row>
    <row r="65" spans="1:7" ht="24.6" thickTop="1" thickBot="1" x14ac:dyDescent="0.35">
      <c r="A65" s="163"/>
      <c r="B65" s="145"/>
      <c r="C65" s="22"/>
      <c r="D65" s="53"/>
      <c r="E65" s="47">
        <v>-113.42</v>
      </c>
      <c r="F65" s="107" t="s">
        <v>213</v>
      </c>
    </row>
    <row r="66" spans="1:7" ht="24.6" thickTop="1" thickBot="1" x14ac:dyDescent="0.35">
      <c r="A66" s="163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3"/>
      <c r="B67" s="145"/>
      <c r="C67" s="63"/>
      <c r="D67" s="53"/>
      <c r="E67" s="53"/>
      <c r="F67" s="125"/>
    </row>
    <row r="68" spans="1:7" ht="24.6" thickTop="1" thickBot="1" x14ac:dyDescent="0.35">
      <c r="A68" s="163"/>
      <c r="B68" s="144"/>
      <c r="C68" s="64"/>
      <c r="D68" s="48"/>
      <c r="E68" s="48"/>
      <c r="F68" s="117" t="s">
        <v>137</v>
      </c>
    </row>
    <row r="69" spans="1:7" ht="24.6" thickTop="1" thickBot="1" x14ac:dyDescent="0.35">
      <c r="A69" s="163" t="s">
        <v>17</v>
      </c>
      <c r="B69" s="160">
        <v>46204</v>
      </c>
      <c r="C69" s="42" t="s">
        <v>186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3"/>
      <c r="B70" s="161">
        <v>46204</v>
      </c>
      <c r="C70" s="114" t="s">
        <v>190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3"/>
      <c r="B71" s="143"/>
      <c r="C71" s="33"/>
      <c r="D71" s="49"/>
      <c r="E71" s="49">
        <f>'July 2026'!C99</f>
        <v>114.015</v>
      </c>
      <c r="F71" s="107" t="s">
        <v>163</v>
      </c>
    </row>
    <row r="72" spans="1:7" ht="24.6" thickTop="1" thickBot="1" x14ac:dyDescent="0.35">
      <c r="A72" s="163"/>
      <c r="B72" s="143"/>
      <c r="C72" s="33"/>
      <c r="D72" s="49"/>
      <c r="E72" s="49">
        <f>'July 2026'!C67*(-1)</f>
        <v>0</v>
      </c>
      <c r="F72" s="107" t="s">
        <v>164</v>
      </c>
    </row>
    <row r="73" spans="1:7" ht="24.6" thickTop="1" thickBot="1" x14ac:dyDescent="0.35">
      <c r="A73" s="163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3"/>
      <c r="B74" s="144"/>
      <c r="C74" s="150"/>
      <c r="D74" s="50"/>
      <c r="E74" s="50"/>
      <c r="F74" s="117" t="s">
        <v>137</v>
      </c>
    </row>
    <row r="75" spans="1:7" ht="24.6" thickTop="1" thickBot="1" x14ac:dyDescent="0.35">
      <c r="A75" s="163" t="s">
        <v>18</v>
      </c>
      <c r="B75" s="160">
        <v>46235</v>
      </c>
      <c r="C75" s="36" t="s">
        <v>182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3"/>
      <c r="B76" s="161">
        <v>46259</v>
      </c>
      <c r="C76" s="101" t="s">
        <v>211</v>
      </c>
      <c r="D76" s="96">
        <v>-2714.82</v>
      </c>
      <c r="E76" s="96"/>
      <c r="F76" s="123"/>
    </row>
    <row r="77" spans="1:7" ht="24.6" thickTop="1" thickBot="1" x14ac:dyDescent="0.35">
      <c r="A77" s="163"/>
      <c r="B77" s="143"/>
      <c r="C77" s="10"/>
      <c r="D77" s="47"/>
      <c r="E77" s="47">
        <f>'August 2026'!C72</f>
        <v>171.16666666666666</v>
      </c>
      <c r="F77" s="107" t="s">
        <v>165</v>
      </c>
    </row>
    <row r="78" spans="1:7" ht="24.6" thickTop="1" thickBot="1" x14ac:dyDescent="0.35">
      <c r="A78" s="163"/>
      <c r="B78" s="143"/>
      <c r="C78" s="10"/>
      <c r="D78" s="47"/>
      <c r="E78" s="47">
        <f>'August 2026'!C62*(-1)</f>
        <v>0</v>
      </c>
      <c r="F78" s="107" t="s">
        <v>166</v>
      </c>
    </row>
    <row r="79" spans="1:7" ht="24.6" thickTop="1" thickBot="1" x14ac:dyDescent="0.35">
      <c r="A79" s="163"/>
      <c r="B79" s="145"/>
      <c r="C79" s="10"/>
      <c r="D79" s="53"/>
      <c r="E79" s="47">
        <v>-285.18</v>
      </c>
      <c r="F79" s="107" t="s">
        <v>213</v>
      </c>
      <c r="G79" s="139">
        <f>SUM(E77:E78)</f>
        <v>171.16666666666666</v>
      </c>
    </row>
    <row r="80" spans="1:7" ht="24.6" thickTop="1" thickBot="1" x14ac:dyDescent="0.35">
      <c r="A80" s="163"/>
      <c r="B80" s="144"/>
      <c r="C80" s="64"/>
      <c r="D80" s="48"/>
      <c r="E80" s="48"/>
      <c r="F80" s="117" t="s">
        <v>137</v>
      </c>
    </row>
    <row r="81" spans="1:7" ht="24.6" thickTop="1" thickBot="1" x14ac:dyDescent="0.35">
      <c r="A81" s="163" t="s">
        <v>19</v>
      </c>
      <c r="B81" s="146">
        <v>46266</v>
      </c>
      <c r="C81" s="42" t="s">
        <v>181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3"/>
      <c r="B82" s="151"/>
      <c r="C82" s="114"/>
      <c r="D82" s="93"/>
      <c r="E82" s="93"/>
      <c r="F82" s="123"/>
    </row>
    <row r="83" spans="1:7" ht="24.6" thickTop="1" thickBot="1" x14ac:dyDescent="0.35">
      <c r="A83" s="163"/>
      <c r="B83" s="147"/>
      <c r="C83" s="33"/>
      <c r="D83" s="49"/>
      <c r="E83" s="49">
        <f>'September 2026'!C75</f>
        <v>111.03666666666668</v>
      </c>
      <c r="F83" s="107" t="s">
        <v>167</v>
      </c>
    </row>
    <row r="84" spans="1:7" ht="24.6" thickTop="1" thickBot="1" x14ac:dyDescent="0.35">
      <c r="A84" s="163"/>
      <c r="B84" s="143"/>
      <c r="C84" s="33"/>
      <c r="D84" s="49"/>
      <c r="E84" s="49">
        <f>'September 2026'!C62*(-1)</f>
        <v>0</v>
      </c>
      <c r="F84" s="107" t="s">
        <v>168</v>
      </c>
    </row>
    <row r="85" spans="1:7" ht="24.6" thickTop="1" thickBot="1" x14ac:dyDescent="0.35">
      <c r="A85" s="163"/>
      <c r="B85" s="145"/>
      <c r="C85" s="54"/>
      <c r="D85" s="55"/>
      <c r="E85" s="49"/>
      <c r="F85" s="124"/>
      <c r="G85" s="139">
        <f>SUM(E83:E84)</f>
        <v>111.03666666666668</v>
      </c>
    </row>
    <row r="86" spans="1:7" ht="24.6" thickTop="1" thickBot="1" x14ac:dyDescent="0.35">
      <c r="A86" s="167"/>
      <c r="B86" s="144"/>
      <c r="C86" s="150"/>
      <c r="D86" s="50"/>
      <c r="E86" s="50"/>
      <c r="F86" s="117" t="s">
        <v>137</v>
      </c>
    </row>
    <row r="87" spans="1:7" ht="24.6" thickTop="1" thickBot="1" x14ac:dyDescent="0.35">
      <c r="A87" s="163" t="s">
        <v>8</v>
      </c>
      <c r="B87" s="141">
        <v>46296</v>
      </c>
      <c r="C87" s="36" t="s">
        <v>183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3"/>
      <c r="B88" s="147"/>
      <c r="C88" s="101"/>
      <c r="D88" s="96"/>
      <c r="E88" s="96"/>
      <c r="F88" s="123"/>
    </row>
    <row r="89" spans="1:7" ht="24.6" thickTop="1" thickBot="1" x14ac:dyDescent="0.35">
      <c r="A89" s="163"/>
      <c r="B89" s="143"/>
      <c r="C89" s="10"/>
      <c r="D89" s="47"/>
      <c r="E89" s="47">
        <f>'October 2026'!C73</f>
        <v>0</v>
      </c>
      <c r="F89" s="107" t="s">
        <v>169</v>
      </c>
    </row>
    <row r="90" spans="1:7" ht="24.6" thickTop="1" thickBot="1" x14ac:dyDescent="0.35">
      <c r="A90" s="163"/>
      <c r="B90" s="143"/>
      <c r="C90" s="10"/>
      <c r="D90" s="47"/>
      <c r="E90" s="47">
        <f>'October 2026'!C62*(-1)</f>
        <v>0</v>
      </c>
      <c r="F90" s="107" t="s">
        <v>170</v>
      </c>
    </row>
    <row r="91" spans="1:7" ht="24.6" thickTop="1" thickBot="1" x14ac:dyDescent="0.35">
      <c r="A91" s="163"/>
      <c r="B91" s="145"/>
      <c r="C91" s="22"/>
      <c r="D91" s="53"/>
      <c r="E91" s="47"/>
      <c r="F91" s="107"/>
    </row>
    <row r="92" spans="1:7" ht="24.6" thickTop="1" thickBot="1" x14ac:dyDescent="0.35">
      <c r="A92" s="163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3"/>
      <c r="B93" s="144"/>
      <c r="C93" s="64"/>
      <c r="D93" s="48"/>
      <c r="E93" s="48"/>
      <c r="F93" s="117" t="s">
        <v>137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1:5" ht="24" thickBot="1" x14ac:dyDescent="0.35">
      <c r="D97" s="52"/>
    </row>
    <row r="98" spans="1:5" ht="48" thickTop="1" thickBot="1" x14ac:dyDescent="0.35">
      <c r="A98" s="99" t="s">
        <v>212</v>
      </c>
      <c r="B98" s="100">
        <v>45944</v>
      </c>
      <c r="D98" s="70" t="s">
        <v>20</v>
      </c>
      <c r="E98" s="71" t="s">
        <v>21</v>
      </c>
    </row>
    <row r="99" spans="1:5" ht="24.6" thickTop="1" thickBot="1" x14ac:dyDescent="0.5">
      <c r="A99" s="99" t="s">
        <v>70</v>
      </c>
      <c r="B99" s="100">
        <v>46308</v>
      </c>
      <c r="C99" s="6"/>
      <c r="D99" s="70">
        <f>SUM(D5:D95)</f>
        <v>-2014.0853652968021</v>
      </c>
      <c r="E99" s="70">
        <f>SUM(E6:E95)</f>
        <v>111.03666666666668</v>
      </c>
    </row>
    <row r="100" spans="1:5" ht="24" thickTop="1" x14ac:dyDescent="0.3">
      <c r="C100" s="52"/>
    </row>
    <row r="101" spans="1:5" x14ac:dyDescent="0.3">
      <c r="C101" s="52"/>
    </row>
    <row r="102" spans="1:5" x14ac:dyDescent="0.3">
      <c r="C102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4" t="s">
        <v>118</v>
      </c>
      <c r="C1" s="165"/>
      <c r="D1" s="165"/>
      <c r="E1" s="165"/>
      <c r="F1" s="165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3" t="s">
        <v>15</v>
      </c>
      <c r="B5" s="76">
        <v>46144</v>
      </c>
      <c r="C5" s="33" t="s">
        <v>181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3"/>
      <c r="B6" s="77">
        <v>46172</v>
      </c>
      <c r="C6" s="33" t="s">
        <v>141</v>
      </c>
      <c r="D6" s="49">
        <v>-741.96</v>
      </c>
      <c r="E6" s="94"/>
      <c r="F6" s="109"/>
      <c r="I6" s="34"/>
    </row>
    <row r="7" spans="1:9" ht="24.6" thickTop="1" thickBot="1" x14ac:dyDescent="0.35">
      <c r="A7" s="163"/>
      <c r="B7" s="77"/>
      <c r="C7" s="33"/>
      <c r="D7" s="49"/>
      <c r="E7" s="40">
        <f>'May 2026'!C99</f>
        <v>96.914999999999992</v>
      </c>
      <c r="F7" s="107" t="s">
        <v>159</v>
      </c>
    </row>
    <row r="8" spans="1:9" ht="24.6" thickTop="1" thickBot="1" x14ac:dyDescent="0.35">
      <c r="A8" s="163"/>
      <c r="B8" s="77"/>
      <c r="C8" s="33"/>
      <c r="D8" s="49"/>
      <c r="E8" s="40">
        <f>'May 2026'!C92*(-1)</f>
        <v>-15</v>
      </c>
      <c r="F8" s="107" t="s">
        <v>160</v>
      </c>
    </row>
    <row r="9" spans="1:9" ht="24.6" thickTop="1" thickBot="1" x14ac:dyDescent="0.35">
      <c r="A9" s="163"/>
      <c r="B9" s="79"/>
      <c r="C9" s="54"/>
      <c r="D9" s="55"/>
      <c r="E9" s="40">
        <v>-81.92</v>
      </c>
      <c r="F9" s="107" t="s">
        <v>175</v>
      </c>
    </row>
    <row r="10" spans="1:9" ht="24.6" thickTop="1" thickBot="1" x14ac:dyDescent="0.35">
      <c r="A10" s="163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3"/>
      <c r="B11" s="78"/>
      <c r="C11" s="66"/>
      <c r="D11" s="50"/>
      <c r="E11" s="41"/>
      <c r="F11" s="109" t="s">
        <v>124</v>
      </c>
    </row>
    <row r="12" spans="1:9" ht="24.6" thickTop="1" thickBot="1" x14ac:dyDescent="0.35">
      <c r="A12" s="163" t="s">
        <v>16</v>
      </c>
      <c r="B12" s="76">
        <v>46174</v>
      </c>
      <c r="C12" s="36" t="s">
        <v>181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3"/>
      <c r="B13" s="87"/>
      <c r="C13" s="10" t="s">
        <v>141</v>
      </c>
      <c r="D13" s="47">
        <v>-741.96</v>
      </c>
      <c r="E13" s="96"/>
      <c r="F13" s="113"/>
    </row>
    <row r="14" spans="1:9" ht="24.6" thickTop="1" thickBot="1" x14ac:dyDescent="0.35">
      <c r="A14" s="163"/>
      <c r="B14" s="77"/>
      <c r="C14" s="10"/>
      <c r="D14" s="47"/>
      <c r="E14" s="25">
        <f>'June 2026'!C98</f>
        <v>123.41500000000001</v>
      </c>
      <c r="F14" s="107" t="s">
        <v>161</v>
      </c>
    </row>
    <row r="15" spans="1:9" ht="24.6" thickTop="1" thickBot="1" x14ac:dyDescent="0.35">
      <c r="A15" s="163"/>
      <c r="B15" s="77"/>
      <c r="C15" s="10"/>
      <c r="D15" s="47"/>
      <c r="E15" s="25">
        <f>'June 2026'!C92*(-1)</f>
        <v>-68</v>
      </c>
      <c r="F15" s="107" t="s">
        <v>162</v>
      </c>
    </row>
    <row r="16" spans="1:9" ht="24.6" thickTop="1" thickBot="1" x14ac:dyDescent="0.35">
      <c r="A16" s="163"/>
      <c r="B16" s="79"/>
      <c r="C16" s="22"/>
      <c r="D16" s="53"/>
      <c r="E16" s="25">
        <v>-55.42</v>
      </c>
      <c r="F16" s="107" t="s">
        <v>175</v>
      </c>
    </row>
    <row r="17" spans="1:7" ht="24.6" thickTop="1" thickBot="1" x14ac:dyDescent="0.35">
      <c r="A17" s="163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3"/>
      <c r="B18" s="79"/>
      <c r="C18" s="63"/>
      <c r="D18" s="53"/>
      <c r="E18" s="30"/>
      <c r="F18" s="112"/>
    </row>
    <row r="19" spans="1:7" ht="24.6" thickTop="1" thickBot="1" x14ac:dyDescent="0.35">
      <c r="A19" s="163"/>
      <c r="B19" s="78"/>
      <c r="C19" s="64"/>
      <c r="D19" s="48"/>
      <c r="E19" s="38"/>
      <c r="F19" s="106" t="s">
        <v>124</v>
      </c>
    </row>
    <row r="20" spans="1:7" ht="24.6" thickTop="1" thickBot="1" x14ac:dyDescent="0.35">
      <c r="A20" s="163" t="s">
        <v>17</v>
      </c>
      <c r="B20" s="76">
        <v>46204</v>
      </c>
      <c r="C20" s="42" t="s">
        <v>186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3"/>
      <c r="B21" s="77"/>
      <c r="C21" s="33" t="s">
        <v>141</v>
      </c>
      <c r="D21" s="93">
        <v>-469.9</v>
      </c>
      <c r="E21" s="40">
        <f>'July 2026'!C99</f>
        <v>114.015</v>
      </c>
      <c r="F21" s="107" t="s">
        <v>163</v>
      </c>
    </row>
    <row r="22" spans="1:7" ht="24.6" thickTop="1" thickBot="1" x14ac:dyDescent="0.35">
      <c r="A22" s="163"/>
      <c r="B22" s="77"/>
      <c r="C22" s="33"/>
      <c r="D22" s="49"/>
      <c r="E22" s="40">
        <f>'July 2026'!C93*(-1)</f>
        <v>0</v>
      </c>
      <c r="F22" s="107" t="s">
        <v>164</v>
      </c>
    </row>
    <row r="23" spans="1:7" ht="24.6" thickTop="1" thickBot="1" x14ac:dyDescent="0.35">
      <c r="A23" s="163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3"/>
      <c r="B24" s="79"/>
      <c r="C24" s="54"/>
      <c r="D24" s="55"/>
      <c r="E24" s="40"/>
      <c r="F24" s="109"/>
    </row>
    <row r="25" spans="1:7" ht="24.6" thickTop="1" thickBot="1" x14ac:dyDescent="0.35">
      <c r="A25" s="163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3"/>
      <c r="B26" s="78"/>
      <c r="C26" s="66"/>
      <c r="D26" s="50"/>
      <c r="E26" s="41"/>
      <c r="F26" s="106" t="s">
        <v>124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138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138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138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138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191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119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120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121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187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189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188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122</v>
      </c>
      <c r="C26" s="25">
        <f>'Main Expenses (Fixed)'!C16</f>
        <v>98.927397260273978</v>
      </c>
    </row>
    <row r="30" spans="2:10" x14ac:dyDescent="0.3">
      <c r="D30" s="5" t="s">
        <v>193</v>
      </c>
      <c r="E30" s="5" t="s">
        <v>136</v>
      </c>
      <c r="F30" s="5" t="s">
        <v>192</v>
      </c>
      <c r="G30" s="5" t="s">
        <v>206</v>
      </c>
      <c r="H30" s="5" t="s">
        <v>124</v>
      </c>
      <c r="I30" s="4"/>
    </row>
    <row r="31" spans="2:10" x14ac:dyDescent="0.3">
      <c r="D31" s="5" t="s">
        <v>194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195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196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197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198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199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200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201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201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202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203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203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204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205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194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207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138</v>
      </c>
    </row>
    <row r="24" spans="1:4" ht="23.4" x14ac:dyDescent="0.3">
      <c r="A24" s="72"/>
      <c r="B24" s="5" t="s">
        <v>46</v>
      </c>
      <c r="C24" s="24">
        <v>30</v>
      </c>
      <c r="D24" s="16" t="s">
        <v>138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138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138</v>
      </c>
    </row>
    <row r="27" spans="1:4" ht="23.4" x14ac:dyDescent="0.3">
      <c r="A27" s="72"/>
      <c r="B27" s="5" t="s">
        <v>49</v>
      </c>
      <c r="C27" s="24">
        <v>19.64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137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136</v>
      </c>
    </row>
    <row r="9" spans="1:4" ht="23.4" x14ac:dyDescent="0.3">
      <c r="A9" s="72"/>
      <c r="B9" s="5" t="s">
        <v>63</v>
      </c>
      <c r="C9" s="24">
        <v>24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138</v>
      </c>
    </row>
    <row r="22" spans="1:4" ht="23.4" x14ac:dyDescent="0.3">
      <c r="A22" s="72"/>
      <c r="B22" s="5" t="s">
        <v>60</v>
      </c>
      <c r="C22" s="24">
        <v>63.65</v>
      </c>
      <c r="D22" s="16" t="s">
        <v>138</v>
      </c>
    </row>
    <row r="23" spans="1:4" ht="23.4" x14ac:dyDescent="0.3">
      <c r="A23" s="72"/>
      <c r="B23" s="5" t="s">
        <v>61</v>
      </c>
      <c r="C23" s="24">
        <v>20</v>
      </c>
      <c r="D23" s="16" t="s">
        <v>138</v>
      </c>
    </row>
    <row r="24" spans="1:4" ht="23.4" x14ac:dyDescent="0.3">
      <c r="A24" s="72"/>
      <c r="B24" s="5" t="s">
        <v>64</v>
      </c>
      <c r="C24" s="24">
        <v>45.7</v>
      </c>
      <c r="D24" s="16" t="s">
        <v>138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137</v>
      </c>
    </row>
    <row r="45" spans="1:4" ht="23.4" x14ac:dyDescent="0.3">
      <c r="A45" s="72"/>
      <c r="B45" s="5" t="s">
        <v>51</v>
      </c>
      <c r="C45" s="24">
        <v>11</v>
      </c>
      <c r="D45" s="16" t="s">
        <v>137</v>
      </c>
    </row>
    <row r="46" spans="1:4" ht="23.4" x14ac:dyDescent="0.3">
      <c r="A46" s="72"/>
      <c r="B46" s="5" t="s">
        <v>59</v>
      </c>
      <c r="C46" s="24">
        <v>12.5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138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137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136</v>
      </c>
    </row>
    <row r="9" spans="1:4" ht="23.4" x14ac:dyDescent="0.3">
      <c r="A9" s="72"/>
      <c r="B9" s="5" t="s">
        <v>68</v>
      </c>
      <c r="C9" s="24">
        <v>25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138</v>
      </c>
    </row>
    <row r="22" spans="1:4" ht="23.4" x14ac:dyDescent="0.3">
      <c r="A22" s="72"/>
      <c r="B22" s="5" t="s">
        <v>69</v>
      </c>
      <c r="C22" s="24">
        <v>12</v>
      </c>
      <c r="D22" s="16" t="s">
        <v>138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137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 t="s">
        <v>117</v>
      </c>
      <c r="C46" s="24">
        <v>30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136</v>
      </c>
    </row>
    <row r="9" spans="1:4" ht="23.4" x14ac:dyDescent="0.3">
      <c r="A9" s="72"/>
      <c r="B9" s="5" t="s">
        <v>74</v>
      </c>
      <c r="C9" s="24">
        <v>29.5</v>
      </c>
      <c r="D9" s="16" t="s">
        <v>136</v>
      </c>
    </row>
    <row r="10" spans="1:4" ht="23.4" x14ac:dyDescent="0.3">
      <c r="A10" s="72"/>
      <c r="B10" s="5" t="s">
        <v>79</v>
      </c>
      <c r="C10" s="24">
        <v>8</v>
      </c>
      <c r="D10" s="16" t="s">
        <v>136</v>
      </c>
    </row>
    <row r="11" spans="1:4" ht="23.4" x14ac:dyDescent="0.3">
      <c r="A11" s="72"/>
      <c r="B11" s="5" t="s">
        <v>80</v>
      </c>
      <c r="C11" s="24">
        <v>46</v>
      </c>
      <c r="D11" s="16" t="s">
        <v>136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138</v>
      </c>
    </row>
    <row r="22" spans="1:4" ht="23.4" x14ac:dyDescent="0.3">
      <c r="A22" s="72"/>
      <c r="B22" s="5" t="s">
        <v>73</v>
      </c>
      <c r="C22" s="24">
        <v>42</v>
      </c>
      <c r="D22" s="16" t="s">
        <v>138</v>
      </c>
    </row>
    <row r="23" spans="1:4" ht="23.4" x14ac:dyDescent="0.3">
      <c r="A23" s="72"/>
      <c r="B23" s="5" t="s">
        <v>76</v>
      </c>
      <c r="C23" s="24">
        <v>10</v>
      </c>
      <c r="D23" s="16" t="s">
        <v>138</v>
      </c>
    </row>
    <row r="24" spans="1:4" ht="23.4" x14ac:dyDescent="0.3">
      <c r="A24" s="72"/>
      <c r="B24" s="5" t="s">
        <v>75</v>
      </c>
      <c r="C24" s="24">
        <v>20</v>
      </c>
      <c r="D24" s="16" t="s">
        <v>138</v>
      </c>
    </row>
    <row r="25" spans="1:4" ht="23.4" x14ac:dyDescent="0.3">
      <c r="A25" s="72"/>
      <c r="B25" s="5" t="s">
        <v>77</v>
      </c>
      <c r="C25" s="24">
        <v>48</v>
      </c>
      <c r="D25" s="16" t="s">
        <v>138</v>
      </c>
    </row>
    <row r="26" spans="1:4" ht="23.4" x14ac:dyDescent="0.3">
      <c r="A26" s="72"/>
      <c r="B26" s="5" t="s">
        <v>78</v>
      </c>
      <c r="C26" s="24">
        <v>11.5</v>
      </c>
      <c r="D26" s="16" t="s">
        <v>138</v>
      </c>
    </row>
    <row r="27" spans="1:4" ht="23.4" x14ac:dyDescent="0.3">
      <c r="A27" s="72"/>
      <c r="B27" s="5" t="s">
        <v>81</v>
      </c>
      <c r="C27" s="24">
        <v>25.84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137</v>
      </c>
    </row>
    <row r="45" spans="1:4" ht="23.4" x14ac:dyDescent="0.3">
      <c r="A45" s="72"/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136</v>
      </c>
    </row>
    <row r="9" spans="1:4" ht="23.4" x14ac:dyDescent="0.3">
      <c r="A9" s="77"/>
      <c r="B9" s="5" t="s">
        <v>86</v>
      </c>
      <c r="C9" s="24">
        <v>38</v>
      </c>
      <c r="D9" s="16" t="s">
        <v>136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136</v>
      </c>
    </row>
    <row r="11" spans="1:4" ht="23.4" x14ac:dyDescent="0.3">
      <c r="A11" s="77"/>
      <c r="B11" s="5" t="s">
        <v>89</v>
      </c>
      <c r="C11" s="24">
        <v>22</v>
      </c>
      <c r="D11" s="16" t="s">
        <v>136</v>
      </c>
    </row>
    <row r="12" spans="1:4" ht="23.4" x14ac:dyDescent="0.3">
      <c r="A12" s="77"/>
      <c r="B12" s="5" t="s">
        <v>95</v>
      </c>
      <c r="C12" s="24">
        <v>62.2</v>
      </c>
      <c r="D12" s="16" t="s">
        <v>136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136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138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138</v>
      </c>
    </row>
    <row r="27" spans="1:4" ht="23.4" x14ac:dyDescent="0.3">
      <c r="A27" s="77"/>
      <c r="B27" s="5" t="s">
        <v>85</v>
      </c>
      <c r="C27" s="24">
        <v>28</v>
      </c>
      <c r="D27" s="16" t="s">
        <v>138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138</v>
      </c>
    </row>
    <row r="29" spans="1:4" ht="23.4" x14ac:dyDescent="0.3">
      <c r="A29" s="77"/>
      <c r="B29" s="5" t="s">
        <v>92</v>
      </c>
      <c r="C29" s="24">
        <v>8.16</v>
      </c>
      <c r="D29" s="16" t="s">
        <v>138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138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138</v>
      </c>
    </row>
    <row r="32" spans="1:4" ht="23.4" x14ac:dyDescent="0.3">
      <c r="A32" s="77"/>
      <c r="B32" s="5" t="s">
        <v>97</v>
      </c>
      <c r="C32" s="24">
        <v>4</v>
      </c>
      <c r="D32" s="16" t="s">
        <v>138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138</v>
      </c>
    </row>
    <row r="34" spans="1:4" ht="23.4" x14ac:dyDescent="0.3">
      <c r="A34" s="77"/>
      <c r="B34" s="5" t="s">
        <v>98</v>
      </c>
      <c r="C34" s="24">
        <v>22</v>
      </c>
      <c r="D34" s="16" t="s">
        <v>138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137</v>
      </c>
    </row>
    <row r="49" spans="1:4" ht="23.4" x14ac:dyDescent="0.3">
      <c r="A49" s="77"/>
      <c r="B49" s="5" t="s">
        <v>91</v>
      </c>
      <c r="C49" s="24">
        <v>25</v>
      </c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136</v>
      </c>
    </row>
    <row r="9" spans="1:4" ht="23.4" x14ac:dyDescent="0.3">
      <c r="A9" s="77"/>
      <c r="B9" s="5" t="s">
        <v>108</v>
      </c>
      <c r="C9" s="24">
        <v>8</v>
      </c>
      <c r="D9" s="16" t="s">
        <v>136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138</v>
      </c>
    </row>
    <row r="26" spans="1:4" ht="23.4" x14ac:dyDescent="0.3">
      <c r="A26" s="77"/>
      <c r="B26" s="5" t="s">
        <v>104</v>
      </c>
      <c r="C26" s="24">
        <v>11.5</v>
      </c>
      <c r="D26" s="16" t="s">
        <v>138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138</v>
      </c>
    </row>
    <row r="28" spans="1:4" ht="23.4" x14ac:dyDescent="0.3">
      <c r="A28" s="77"/>
      <c r="B28" s="5" t="s">
        <v>107</v>
      </c>
      <c r="C28" s="24">
        <v>2</v>
      </c>
      <c r="D28" s="16" t="s">
        <v>138</v>
      </c>
    </row>
    <row r="29" spans="1:4" ht="23.4" x14ac:dyDescent="0.3">
      <c r="A29" s="77"/>
      <c r="B29" s="5" t="s">
        <v>126</v>
      </c>
      <c r="C29" s="24">
        <v>30</v>
      </c>
      <c r="D29" s="16" t="s">
        <v>138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128</v>
      </c>
      <c r="C8" s="24">
        <v>8</v>
      </c>
      <c r="D8" s="16" t="s">
        <v>136</v>
      </c>
    </row>
    <row r="9" spans="1:4" ht="23.4" x14ac:dyDescent="0.3">
      <c r="A9" s="77"/>
      <c r="B9" s="5" t="s">
        <v>129</v>
      </c>
      <c r="C9" s="24">
        <v>35.9</v>
      </c>
      <c r="D9" s="16" t="s">
        <v>136</v>
      </c>
    </row>
    <row r="10" spans="1:4" ht="23.4" x14ac:dyDescent="0.3">
      <c r="A10" s="77"/>
      <c r="B10" s="5" t="s">
        <v>130</v>
      </c>
      <c r="C10" s="24">
        <v>24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127</v>
      </c>
      <c r="C25" s="24">
        <v>11.5</v>
      </c>
      <c r="D25" s="16" t="s">
        <v>138</v>
      </c>
    </row>
    <row r="26" spans="1:4" ht="23.4" x14ac:dyDescent="0.3">
      <c r="A26" s="77"/>
      <c r="B26" s="5" t="s">
        <v>63</v>
      </c>
      <c r="C26" s="24">
        <v>22</v>
      </c>
      <c r="D26" s="16" t="s">
        <v>138</v>
      </c>
    </row>
    <row r="27" spans="1:4" ht="23.4" x14ac:dyDescent="0.3">
      <c r="A27" s="77"/>
      <c r="B27" s="5" t="s">
        <v>62</v>
      </c>
      <c r="C27" s="24">
        <v>24</v>
      </c>
      <c r="D27" s="16" t="s">
        <v>138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138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124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125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134</v>
      </c>
      <c r="C8" s="24">
        <v>23.98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133</v>
      </c>
      <c r="C25" s="24">
        <v>35.950000000000003</v>
      </c>
      <c r="D25" s="16" t="s">
        <v>138</v>
      </c>
    </row>
    <row r="26" spans="1:4" ht="23.4" x14ac:dyDescent="0.3">
      <c r="A26" s="77"/>
      <c r="B26" s="5" t="s">
        <v>60</v>
      </c>
      <c r="C26" s="24">
        <v>355.73</v>
      </c>
      <c r="D26" s="16" t="s">
        <v>138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131</v>
      </c>
      <c r="C48" s="24">
        <v>10</v>
      </c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124</v>
      </c>
    </row>
    <row r="75" spans="1:4" ht="23.4" x14ac:dyDescent="0.3">
      <c r="A75" s="77"/>
      <c r="B75" s="5" t="s">
        <v>132</v>
      </c>
      <c r="C75" s="24">
        <v>20</v>
      </c>
      <c r="D75" s="16" t="s">
        <v>124</v>
      </c>
    </row>
    <row r="76" spans="1:4" ht="23.4" x14ac:dyDescent="0.3">
      <c r="A76" s="77"/>
      <c r="B76" s="5" t="s">
        <v>135</v>
      </c>
      <c r="C76" s="24">
        <v>30</v>
      </c>
      <c r="D76" s="16" t="s">
        <v>124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125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139</v>
      </c>
      <c r="C25" s="24">
        <v>16</v>
      </c>
      <c r="D25" s="16" t="s">
        <v>138</v>
      </c>
    </row>
    <row r="26" spans="1:4" ht="23.4" x14ac:dyDescent="0.3">
      <c r="A26" s="77"/>
      <c r="B26" s="5" t="s">
        <v>62</v>
      </c>
      <c r="C26" s="24">
        <v>10</v>
      </c>
      <c r="D26" s="16" t="s">
        <v>138</v>
      </c>
    </row>
    <row r="27" spans="1:4" ht="23.4" x14ac:dyDescent="0.3">
      <c r="A27" s="77"/>
      <c r="B27" s="5" t="s">
        <v>140</v>
      </c>
      <c r="C27" s="24">
        <v>22</v>
      </c>
      <c r="D27" s="16" t="s">
        <v>138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138</v>
      </c>
    </row>
    <row r="29" spans="1:4" ht="23.4" x14ac:dyDescent="0.3">
      <c r="A29" s="154">
        <v>46210</v>
      </c>
      <c r="B29" s="5" t="s">
        <v>185</v>
      </c>
      <c r="C29" s="24">
        <v>16.11</v>
      </c>
      <c r="D29" s="16" t="s">
        <v>138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123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124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125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opLeftCell="A18" workbookViewId="0">
      <selection activeCell="I25" sqref="I2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208</v>
      </c>
      <c r="C8" s="24">
        <v>14.7</v>
      </c>
      <c r="D8" s="16" t="s">
        <v>136</v>
      </c>
    </row>
    <row r="9" spans="1:4" ht="23.4" x14ac:dyDescent="0.3">
      <c r="A9" s="77"/>
      <c r="B9" s="5" t="s">
        <v>210</v>
      </c>
      <c r="C9" s="24">
        <v>8</v>
      </c>
      <c r="D9" s="16" t="s">
        <v>136</v>
      </c>
    </row>
    <row r="10" spans="1:4" ht="23.4" x14ac:dyDescent="0.3">
      <c r="A10" s="154">
        <v>46256</v>
      </c>
      <c r="B10" s="5" t="s">
        <v>63</v>
      </c>
      <c r="C10" s="24">
        <v>22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44.7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184</v>
      </c>
      <c r="C21" s="24">
        <v>33</v>
      </c>
      <c r="D21" s="16" t="s">
        <v>138</v>
      </c>
    </row>
    <row r="22" spans="1:4" ht="23.4" x14ac:dyDescent="0.3">
      <c r="A22" s="154">
        <v>46239</v>
      </c>
      <c r="B22" s="5" t="s">
        <v>209</v>
      </c>
      <c r="C22" s="24">
        <v>15</v>
      </c>
      <c r="D22" s="16" t="s">
        <v>138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138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138</v>
      </c>
    </row>
    <row r="25" spans="1:4" ht="23.4" x14ac:dyDescent="0.3">
      <c r="A25" s="154">
        <v>46256</v>
      </c>
      <c r="B25" s="5" t="s">
        <v>63</v>
      </c>
      <c r="C25" s="24">
        <v>22</v>
      </c>
      <c r="D25" s="16" t="s">
        <v>138</v>
      </c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468.8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513.5</v>
      </c>
    </row>
    <row r="72" spans="2:3" ht="46.8" x14ac:dyDescent="0.3">
      <c r="B72" s="45" t="s">
        <v>125</v>
      </c>
      <c r="C72" s="27">
        <f>C71/3</f>
        <v>171.16666666666666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abSelected="1" topLeftCell="A3" workbookViewId="0">
      <selection activeCell="H11" sqref="H1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154">
        <v>46278</v>
      </c>
      <c r="B8" s="5" t="s">
        <v>217</v>
      </c>
      <c r="C8" s="24">
        <v>16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16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46271</v>
      </c>
      <c r="B21" s="5" t="s">
        <v>216</v>
      </c>
      <c r="C21" s="24">
        <v>2</v>
      </c>
      <c r="D21" s="16" t="s">
        <v>138</v>
      </c>
    </row>
    <row r="22" spans="1:4" ht="23.4" x14ac:dyDescent="0.3">
      <c r="A22" s="154">
        <v>46278</v>
      </c>
      <c r="B22" s="5" t="s">
        <v>60</v>
      </c>
      <c r="C22" s="24">
        <v>315.11</v>
      </c>
      <c r="D22" s="16" t="s">
        <v>138</v>
      </c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317.11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333.11</v>
      </c>
    </row>
    <row r="75" spans="2:3" ht="46.8" x14ac:dyDescent="0.3">
      <c r="B75" s="45" t="s">
        <v>125</v>
      </c>
      <c r="C75" s="27">
        <f>C74/3</f>
        <v>111.03666666666668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138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125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2026-09-14T06:06:50Z</dcterms:modified>
  <cp:category/>
  <cp:contentStatus/>
</cp:coreProperties>
</file>