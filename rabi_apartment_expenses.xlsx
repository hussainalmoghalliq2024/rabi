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Money Loan 2026\Rabea Apartment\"/>
    </mc:Choice>
  </mc:AlternateContent>
  <xr:revisionPtr revIDLastSave="0" documentId="13_ncr:1_{EC05FCFB-0D9E-4169-8162-F625971F6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s Alahmed" sheetId="15" r:id="rId1"/>
    <sheet name="Siraj" sheetId="28" r:id="rId2"/>
    <sheet name="Mahdi BuAli" sheetId="31" r:id="rId3"/>
    <sheet name="Main Expenses (Fixed)" sheetId="4" r:id="rId4"/>
    <sheet name="Days each month" sheetId="29" r:id="rId5"/>
    <sheet name="October 2025" sheetId="3" r:id="rId6"/>
    <sheet name="November 2025" sheetId="17" r:id="rId7"/>
    <sheet name="December 2025" sheetId="18" r:id="rId8"/>
    <sheet name="January 2026" sheetId="19" r:id="rId9"/>
    <sheet name="February 2026" sheetId="20" r:id="rId10"/>
    <sheet name="March 2026" sheetId="21" r:id="rId11"/>
    <sheet name="April 2026" sheetId="22" r:id="rId12"/>
    <sheet name="May 2026" sheetId="23" r:id="rId13"/>
    <sheet name="June 2026" sheetId="24" r:id="rId14"/>
    <sheet name="July 2026" sheetId="25" r:id="rId15"/>
    <sheet name="August 2026" sheetId="26" r:id="rId16"/>
    <sheet name="September 2026" sheetId="27" r:id="rId17"/>
    <sheet name="October 2026" sheetId="30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27" l="1"/>
  <c r="C75" i="27" s="1"/>
  <c r="H50" i="29"/>
  <c r="H47" i="29"/>
  <c r="E47" i="29"/>
  <c r="J18" i="29"/>
  <c r="J17" i="29"/>
  <c r="C38" i="23"/>
  <c r="E47" i="28"/>
  <c r="C92" i="23"/>
  <c r="C17" i="23"/>
  <c r="C98" i="23"/>
  <c r="C99" i="23"/>
  <c r="E56" i="28"/>
  <c r="C66" i="24"/>
  <c r="C92" i="24"/>
  <c r="C17" i="24"/>
  <c r="C38" i="24"/>
  <c r="C97" i="24"/>
  <c r="C98" i="24" s="1"/>
  <c r="E64" i="28"/>
  <c r="E22" i="28"/>
  <c r="E15" i="31"/>
  <c r="E8" i="31"/>
  <c r="G10" i="31" s="1"/>
  <c r="C93" i="25"/>
  <c r="E22" i="31" s="1"/>
  <c r="C26" i="29"/>
  <c r="C62" i="30"/>
  <c r="C72" i="30" s="1"/>
  <c r="C73" i="30" s="1"/>
  <c r="C13" i="30"/>
  <c r="E108" i="15"/>
  <c r="C25" i="29"/>
  <c r="C24" i="29"/>
  <c r="D15" i="29" s="1"/>
  <c r="C18" i="4"/>
  <c r="C13" i="4"/>
  <c r="C16" i="4"/>
  <c r="C17" i="4"/>
  <c r="C21" i="29"/>
  <c r="E49" i="28"/>
  <c r="C17" i="22"/>
  <c r="C66" i="22"/>
  <c r="C38" i="22"/>
  <c r="C82" i="22"/>
  <c r="C83" i="22"/>
  <c r="C17" i="21"/>
  <c r="C82" i="21"/>
  <c r="C83" i="21"/>
  <c r="E38" i="28"/>
  <c r="E40" i="28"/>
  <c r="E41" i="28"/>
  <c r="E42" i="28"/>
  <c r="C38" i="21"/>
  <c r="C66" i="21"/>
  <c r="E48" i="15"/>
  <c r="C34" i="20"/>
  <c r="C78" i="20"/>
  <c r="C79" i="20"/>
  <c r="E39" i="15"/>
  <c r="E40" i="15"/>
  <c r="C34" i="19"/>
  <c r="C78" i="19"/>
  <c r="C79" i="19"/>
  <c r="C34" i="18"/>
  <c r="C34" i="17"/>
  <c r="C13" i="20"/>
  <c r="C62" i="20"/>
  <c r="E33" i="28"/>
  <c r="E6" i="15"/>
  <c r="E16" i="28"/>
  <c r="C26" i="3"/>
  <c r="E7" i="28"/>
  <c r="C62" i="27"/>
  <c r="E84" i="28"/>
  <c r="C62" i="26"/>
  <c r="E78" i="28" s="1"/>
  <c r="C67" i="25"/>
  <c r="E72" i="28" s="1"/>
  <c r="C66" i="23"/>
  <c r="C62" i="19"/>
  <c r="E28" i="28"/>
  <c r="C13" i="19"/>
  <c r="C13" i="17"/>
  <c r="C61" i="17"/>
  <c r="C77" i="17"/>
  <c r="C13" i="27"/>
  <c r="E100" i="15" s="1"/>
  <c r="C13" i="26"/>
  <c r="E92" i="15" s="1"/>
  <c r="C17" i="25"/>
  <c r="C39" i="25" s="1"/>
  <c r="E74" i="15"/>
  <c r="E7" i="31"/>
  <c r="E56" i="15"/>
  <c r="E32" i="15"/>
  <c r="C13" i="18"/>
  <c r="C78" i="18"/>
  <c r="C79" i="18"/>
  <c r="E23" i="15"/>
  <c r="E24" i="15"/>
  <c r="C78" i="17"/>
  <c r="E15" i="28"/>
  <c r="E15" i="15"/>
  <c r="E16" i="15"/>
  <c r="C15" i="3"/>
  <c r="C40" i="3"/>
  <c r="C68" i="3"/>
  <c r="C84" i="3"/>
  <c r="C85" i="3"/>
  <c r="E7" i="15"/>
  <c r="E21" i="28"/>
  <c r="E8" i="28"/>
  <c r="E9" i="28"/>
  <c r="C62" i="18"/>
  <c r="E27" i="28"/>
  <c r="E31" i="15"/>
  <c r="E32" i="28"/>
  <c r="C34" i="27"/>
  <c r="C34" i="26"/>
  <c r="E55" i="15"/>
  <c r="E46" i="28"/>
  <c r="E65" i="15"/>
  <c r="G69" i="15" s="1"/>
  <c r="E57" i="28"/>
  <c r="E47" i="15"/>
  <c r="G51" i="15" s="1"/>
  <c r="E37" i="28"/>
  <c r="C34" i="30"/>
  <c r="C15" i="4"/>
  <c r="C19" i="4"/>
  <c r="C27" i="4"/>
  <c r="E64" i="15"/>
  <c r="G23" i="28" l="1"/>
  <c r="G10" i="28"/>
  <c r="C71" i="26"/>
  <c r="C72" i="26" s="1"/>
  <c r="E91" i="15" s="1"/>
  <c r="G95" i="15" s="1"/>
  <c r="E90" i="28"/>
  <c r="D82" i="15"/>
  <c r="D75" i="28"/>
  <c r="D81" i="28"/>
  <c r="D87" i="28"/>
  <c r="D90" i="15"/>
  <c r="D98" i="15"/>
  <c r="D106" i="15"/>
  <c r="F47" i="29"/>
  <c r="G47" i="29"/>
  <c r="G59" i="15"/>
  <c r="D13" i="15"/>
  <c r="D21" i="29"/>
  <c r="E23" i="29" s="1"/>
  <c r="D5" i="28"/>
  <c r="D14" i="29"/>
  <c r="D9" i="29"/>
  <c r="D19" i="29"/>
  <c r="D53" i="28"/>
  <c r="D13" i="29"/>
  <c r="D5" i="29"/>
  <c r="D12" i="31"/>
  <c r="D37" i="15"/>
  <c r="D62" i="15"/>
  <c r="D63" i="15"/>
  <c r="D12" i="28"/>
  <c r="D20" i="28"/>
  <c r="D54" i="28"/>
  <c r="J11" i="29"/>
  <c r="D31" i="28"/>
  <c r="D17" i="29"/>
  <c r="D70" i="28"/>
  <c r="D11" i="29"/>
  <c r="D10" i="29"/>
  <c r="D8" i="29"/>
  <c r="D6" i="29"/>
  <c r="D18" i="29"/>
  <c r="D5" i="31"/>
  <c r="D25" i="28"/>
  <c r="D54" i="15"/>
  <c r="J12" i="29"/>
  <c r="D45" i="28"/>
  <c r="D37" i="28"/>
  <c r="D16" i="29"/>
  <c r="D62" i="28"/>
  <c r="D12" i="29"/>
  <c r="D5" i="15"/>
  <c r="D7" i="29"/>
  <c r="D21" i="15"/>
  <c r="D29" i="15"/>
  <c r="D20" i="29"/>
  <c r="D46" i="15"/>
  <c r="D20" i="31"/>
  <c r="D72" i="15"/>
  <c r="D81" i="15"/>
  <c r="D69" i="28"/>
  <c r="E84" i="15"/>
  <c r="G51" i="28"/>
  <c r="G59" i="28"/>
  <c r="G35" i="28"/>
  <c r="G43" i="28"/>
  <c r="G29" i="28"/>
  <c r="G18" i="28"/>
  <c r="G10" i="15"/>
  <c r="G34" i="15"/>
  <c r="G26" i="15"/>
  <c r="G43" i="15"/>
  <c r="G18" i="15"/>
  <c r="C98" i="25"/>
  <c r="C99" i="25" s="1"/>
  <c r="E89" i="28"/>
  <c r="E107" i="15"/>
  <c r="G111" i="15" s="1"/>
  <c r="E63" i="28"/>
  <c r="E14" i="31"/>
  <c r="E73" i="15"/>
  <c r="G92" i="28" l="1"/>
  <c r="E83" i="28"/>
  <c r="G85" i="28" s="1"/>
  <c r="E99" i="15"/>
  <c r="G103" i="15" s="1"/>
  <c r="E77" i="28"/>
  <c r="G79" i="28" s="1"/>
  <c r="D37" i="31"/>
  <c r="D99" i="28"/>
  <c r="D124" i="15"/>
  <c r="E71" i="28"/>
  <c r="G73" i="28" s="1"/>
  <c r="E21" i="31"/>
  <c r="G25" i="31" s="1"/>
  <c r="E83" i="15"/>
  <c r="G87" i="15" s="1"/>
  <c r="G66" i="28"/>
  <c r="G78" i="15"/>
  <c r="G17" i="31"/>
  <c r="E37" i="31" l="1"/>
  <c r="E99" i="28"/>
  <c r="E124" i="15"/>
</calcChain>
</file>

<file path=xl/sharedStrings.xml><?xml version="1.0" encoding="utf-8"?>
<sst xmlns="http://schemas.openxmlformats.org/spreadsheetml/2006/main" count="749" uniqueCount="216">
  <si>
    <t>Payment on Hus Alahmed to HJM</t>
  </si>
  <si>
    <t>Month</t>
  </si>
  <si>
    <t>Date</t>
  </si>
  <si>
    <t>Description</t>
  </si>
  <si>
    <t>Amount</t>
  </si>
  <si>
    <t>General Expenses</t>
  </si>
  <si>
    <t>Comments</t>
  </si>
  <si>
    <t>Fixed Amount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</si>
  <si>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</si>
  <si>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</si>
  <si>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</si>
  <si>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</si>
  <si>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</si>
  <si>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</si>
  <si>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</si>
  <si>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</si>
  <si>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</si>
  <si>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</si>
  <si>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</si>
  <si>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</si>
  <si>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Remaining for Rental</t>
  </si>
  <si>
    <t>Remaining for 
General Expenses</t>
  </si>
  <si>
    <t>CAPEX Paid by Hussain</t>
  </si>
  <si>
    <t>Payments by Hussain</t>
  </si>
  <si>
    <t>Paid By</t>
  </si>
  <si>
    <t>أجار سنة كاملة
October 14 2025 to October 13 2026</t>
  </si>
  <si>
    <t>مدفوعات المكتب العقاري للإيجار - مرة واحدة فقط</t>
  </si>
  <si>
    <t>Total</t>
  </si>
  <si>
    <t>Final Share on Each Member (fixed)</t>
  </si>
  <si>
    <t>Month: October 2025</t>
  </si>
  <si>
    <t>Payments by Hus Alahmed</t>
  </si>
  <si>
    <t>تنظيف الشقة - غسيل</t>
  </si>
  <si>
    <t>Payments by Seraj</t>
  </si>
  <si>
    <t>Share on Each Member 
(3 members)</t>
  </si>
  <si>
    <t>Month: November 2025</t>
  </si>
  <si>
    <t>Month: December 2025</t>
  </si>
  <si>
    <t>Month: January 2026</t>
  </si>
  <si>
    <t>Month: February 2026</t>
  </si>
  <si>
    <t>Month: March 2026</t>
  </si>
  <si>
    <t>Month: April 2026</t>
  </si>
  <si>
    <t>Month: May 2026</t>
  </si>
  <si>
    <t>Month: June 2026</t>
  </si>
  <si>
    <t>Month: July 2026</t>
  </si>
  <si>
    <t>Month: August 2026</t>
  </si>
  <si>
    <t>Payments by Ahmed</t>
  </si>
  <si>
    <t>Month: September 2026</t>
  </si>
  <si>
    <t>كيلون الباب</t>
  </si>
  <si>
    <t>غسيل السجادة</t>
  </si>
  <si>
    <t>أغراض من تيمو</t>
  </si>
  <si>
    <t>تيمو - مثبت الأبواب</t>
  </si>
  <si>
    <t>كيبل AUX</t>
  </si>
  <si>
    <t>كرتون ماي</t>
  </si>
  <si>
    <t>Tape</t>
  </si>
  <si>
    <t>مكيف الصالة المشترك</t>
  </si>
  <si>
    <t>شغل الباب والجبس المشترك</t>
  </si>
  <si>
    <t>المجموع</t>
  </si>
  <si>
    <t>الأجار الشهري على المجموعة</t>
  </si>
  <si>
    <t>الأجار الفردي على الشخص (ابو هادي + سراج + أبو علي)</t>
  </si>
  <si>
    <t>النقل مرتين + التجليد</t>
  </si>
  <si>
    <t>مشروبات غازية</t>
  </si>
  <si>
    <t>فاتورة الكهرباء</t>
  </si>
  <si>
    <t>كرتونين ماي we</t>
  </si>
  <si>
    <t>كلينكس</t>
  </si>
  <si>
    <t>كرتونين ماي</t>
  </si>
  <si>
    <t>أكياس زبالة + سفر من على كيفك</t>
  </si>
  <si>
    <t>عشاء ربيان مقلى - ١٨ نوفمبر</t>
  </si>
  <si>
    <t>Column1</t>
  </si>
  <si>
    <t xml:space="preserve">فاتورة الكهرباء </t>
  </si>
  <si>
    <t>سفر + شوك + ملاعق</t>
  </si>
  <si>
    <t>قربة ماي للشاي والقهوة</t>
  </si>
  <si>
    <t>Rental Expiry</t>
  </si>
  <si>
    <t>توصيلة كهرباء قوية</t>
  </si>
  <si>
    <t>اغراش ماي</t>
  </si>
  <si>
    <t>فشار</t>
  </si>
  <si>
    <t>كلينكس + مغرفة + طرمبة ماي</t>
  </si>
  <si>
    <t>فلينة لرمضان</t>
  </si>
  <si>
    <t>كرتون ماي - رمضان</t>
  </si>
  <si>
    <t>فطور الأثنين ٢٣ فبراير - حبة مندي دجاج</t>
  </si>
  <si>
    <t>دبس صغير من الرياض</t>
  </si>
  <si>
    <t>قربة ماي</t>
  </si>
  <si>
    <t>مندي مع رز ابيض - الثلاثاء 25 فبراير</t>
  </si>
  <si>
    <t>موز + حليب</t>
  </si>
  <si>
    <t>الأحد - نص مندي نص مقلوبة</t>
  </si>
  <si>
    <t>الأثنين - نص مندي فقط ٢ مارس</t>
  </si>
  <si>
    <t>نعناع</t>
  </si>
  <si>
    <t>تمر</t>
  </si>
  <si>
    <t>الثلاثاء - حبة الا ربع مندي</t>
  </si>
  <si>
    <t>صحن كبير للأكل</t>
  </si>
  <si>
    <t>تعبئة بنزين</t>
  </si>
  <si>
    <t>بيتزا</t>
  </si>
  <si>
    <t>كرتونين ماي + فيمتو</t>
  </si>
  <si>
    <t>عصير رمان</t>
  </si>
  <si>
    <t>موز</t>
  </si>
  <si>
    <t>نص مندي + ربع مندي ٨ مارس</t>
  </si>
  <si>
    <t>مخالفة السرعة - نص نص</t>
  </si>
  <si>
    <t>سكر مع شاي</t>
  </si>
  <si>
    <t>نص مندي + ربع مندي ١٠ مارس</t>
  </si>
  <si>
    <t>قشطة</t>
  </si>
  <si>
    <t>كرتونين ماي ماركة وي</t>
  </si>
  <si>
    <t>روب يوناني وشوفان</t>
  </si>
  <si>
    <t>روب يوناني</t>
  </si>
  <si>
    <t>تبديل غرشة الماي + ملاعق بلاستيك</t>
  </si>
  <si>
    <t>موز وبيض</t>
  </si>
  <si>
    <t>ريحة للحمامات</t>
  </si>
  <si>
    <t>ملاعق بلاستيك مع مناقيش</t>
  </si>
  <si>
    <t>كرتونين ماي وي</t>
  </si>
  <si>
    <t>غرشة ماي من تيمو</t>
  </si>
  <si>
    <t>تيب كهرباء أسود</t>
  </si>
  <si>
    <t>تبديل غرشة الماء الكبيرة</t>
  </si>
  <si>
    <t>الأجار اليومي على الشخص - ٣ أشخاص</t>
  </si>
  <si>
    <t>الأجار اليومي الكامل للشقة</t>
  </si>
  <si>
    <t>الأجار اليومي على الشخص - 4 أشخاص</t>
  </si>
  <si>
    <t>الشهر</t>
  </si>
  <si>
    <t>عدد الأيام</t>
  </si>
  <si>
    <t>Month: October 2026</t>
  </si>
  <si>
    <t>test</t>
  </si>
  <si>
    <t>دفع من أبو علي</t>
  </si>
  <si>
    <t>إشتراك IPTV</t>
  </si>
  <si>
    <t>Payment on Mahdi BuAli to HJM</t>
  </si>
  <si>
    <t>Special Case for April</t>
  </si>
  <si>
    <t>24 days by 3 members</t>
  </si>
  <si>
    <t>6 days by 4 members</t>
  </si>
  <si>
    <t>الأجار اليومي الكامل للشقة - بغض النظر عن العدد</t>
  </si>
  <si>
    <t>Payments by Mahdi</t>
  </si>
  <si>
    <t>Mahdi</t>
  </si>
  <si>
    <t>Share on Each Member 
(4 members)</t>
  </si>
  <si>
    <t>سويتشات كهرباء</t>
  </si>
  <si>
    <t>ملاعق وشوك</t>
  </si>
  <si>
    <t>غرشة ماي</t>
  </si>
  <si>
    <t>ملطف جو</t>
  </si>
  <si>
    <t>تبديل ماي + شراء وحدة جديدة</t>
  </si>
  <si>
    <t>صابون يد للحمام</t>
  </si>
  <si>
    <t>صابون يد</t>
  </si>
  <si>
    <t>ملطف جو مع رائحة للحمام</t>
  </si>
  <si>
    <t>كرتونين ماي إيفال</t>
  </si>
  <si>
    <t>3 كراتين ماء</t>
  </si>
  <si>
    <t>Hussain Alahmed</t>
  </si>
  <si>
    <t>Siraj Quraish</t>
  </si>
  <si>
    <t>Hussain Almoghalliq</t>
  </si>
  <si>
    <t>تبديل قربتين ماي</t>
  </si>
  <si>
    <t>كرتونين ماي وي 330 مل</t>
  </si>
  <si>
    <t>دفع لأجار الشقة</t>
  </si>
  <si>
    <t>دفع الدفعة الأولى</t>
  </si>
  <si>
    <t>عزبة أكتوبر 2025 المشتركة</t>
  </si>
  <si>
    <t>المبلغ المسترجع لشهر أكتوبر 2025</t>
  </si>
  <si>
    <t>عزبة نوفمبر 2025 المشتركة</t>
  </si>
  <si>
    <t>المبلغ المسترجع لشهر نوفمبر 2025</t>
  </si>
  <si>
    <t>عزبة ديسمبر 2025 المشتركة</t>
  </si>
  <si>
    <t>المبلغ المسترجع لشهر ديسمبر 2025</t>
  </si>
  <si>
    <t>عزبة يناير 2026 المشتركة</t>
  </si>
  <si>
    <t>المبلغ المسترجع لشهر يناير 2026</t>
  </si>
  <si>
    <t>عزبة فبراير 2026 المشتركة</t>
  </si>
  <si>
    <t>المبلغ المسترجع لشهر فبراير 2026</t>
  </si>
  <si>
    <t>فطور رمضان بين أبو هادي وأبو علي - الأربعاء</t>
  </si>
  <si>
    <t>عزبة مارس 2026 المشتركة</t>
  </si>
  <si>
    <t>المبلغ المسترجع لشهر مارس 2026</t>
  </si>
  <si>
    <t>للمعسل بين أبو هادي أبو علي</t>
  </si>
  <si>
    <t>عزبة أبريل 2026 المشتركة</t>
  </si>
  <si>
    <t>المبلغ المسترجع لشهر أبريل 2026</t>
  </si>
  <si>
    <t>عزبة مايو 2026 المشتركة</t>
  </si>
  <si>
    <t>المبلغ المسترجع لشهر مايو 2026</t>
  </si>
  <si>
    <t>عزبة جون 2026 المشتركة</t>
  </si>
  <si>
    <t>المبلغ المسترجع لشهر جون 2026</t>
  </si>
  <si>
    <t>عزبة جولاي 2026 المشتركة</t>
  </si>
  <si>
    <t>المبلغ المسترجع لشهر جولاي 2026</t>
  </si>
  <si>
    <t>عزبة أغسطس 2026 المشتركة</t>
  </si>
  <si>
    <t>المبلغ المسترجع لشهر أغسطس 2026</t>
  </si>
  <si>
    <t>عزبة سبتمبر 2026 المشتركة</t>
  </si>
  <si>
    <t>المبلغ المسترجع لشهر سبتمبر 2026</t>
  </si>
  <si>
    <t>عزبة أكتوبر 2026 المشتركة</t>
  </si>
  <si>
    <t>المبلغ المسترجع لشهر أكتوبر 2026</t>
  </si>
  <si>
    <t>مسترجع من شقة حي النفل</t>
  </si>
  <si>
    <r>
      <rPr>
        <sz val="18"/>
        <color rgb="FF000000"/>
        <rFont val="Calibri"/>
        <family val="2"/>
        <scheme val="minor"/>
      </rPr>
      <t xml:space="preserve">Payment on </t>
    </r>
    <r>
      <rPr>
        <sz val="18"/>
        <color rgb="FFFF0000"/>
        <rFont val="Calibri"/>
        <family val="2"/>
        <scheme val="minor"/>
      </rPr>
      <t>Siraj</t>
    </r>
    <r>
      <rPr>
        <sz val="18"/>
        <color rgb="FF000000"/>
        <rFont val="Calibri"/>
        <family val="2"/>
        <scheme val="minor"/>
      </rPr>
      <t xml:space="preserve"> to Hussain</t>
    </r>
  </si>
  <si>
    <t>سوبر ماركت مشترك</t>
  </si>
  <si>
    <t>Rental Amounts</t>
  </si>
  <si>
    <t>دفع من مهدي</t>
  </si>
  <si>
    <t>أجار الشقة الشهري - 3 أشخاص - 19 يوم</t>
  </si>
  <si>
    <t>أجار الشقة الشهري - 3 أشخاص - 30 يوم</t>
  </si>
  <si>
    <t>أجار الشقة الشهري - 3 أشخاص - 31 يوم</t>
  </si>
  <si>
    <t>أجار الشقة الشهري - 3 أشخاص - 28 يوم</t>
  </si>
  <si>
    <t>أجار الشقة الشهري - 3 أشخاص - 1 مايو فقط</t>
  </si>
  <si>
    <t>أجار الشقة الشهري - 4 أشخاص - 30 يوم</t>
  </si>
  <si>
    <t>أجار الشقة الشهري - 4 أشخاص - 31 يوم</t>
  </si>
  <si>
    <t>أجار الشقة الشهري - 4 أشخاص - 12 يوم</t>
  </si>
  <si>
    <t>3 كراتين ماي وي 330 مل</t>
  </si>
  <si>
    <t>هاندل لشامبو</t>
  </si>
  <si>
    <t>أجار الشقة الشهري - 4 أشخاص - 19 يوم</t>
  </si>
  <si>
    <t>Special Case for July</t>
  </si>
  <si>
    <t>19 days by 4 members</t>
  </si>
  <si>
    <t>12 days by 3 members</t>
  </si>
  <si>
    <t>أجار الشقة الشهري - 3 أشخاص - 12 يوم</t>
  </si>
  <si>
    <t>المبلغ الشهري المتوقع على كل شخص</t>
  </si>
  <si>
    <t>Siraj</t>
  </si>
  <si>
    <t>Month/Name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</si>
  <si>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</si>
  <si>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</si>
  <si>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</si>
  <si>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</si>
  <si>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</si>
  <si>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</si>
  <si>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</si>
  <si>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</si>
  <si>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</si>
  <si>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</si>
  <si>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</si>
  <si>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</si>
  <si>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Abu Hadi</t>
  </si>
  <si>
    <t>Grand Total</t>
  </si>
  <si>
    <t>فيري + فرشاة تنظيف</t>
  </si>
  <si>
    <t>صابون</t>
  </si>
  <si>
    <t>تعبئة قربة ماء</t>
  </si>
  <si>
    <t>دفع لأجار الشقة - 3000 ريال - (2559 + 441)</t>
  </si>
  <si>
    <t>Rental Start</t>
  </si>
  <si>
    <t>دفع من أبو فدوى للعزبة</t>
  </si>
  <si>
    <t>استخدام رصيد من الأجار لدفع العزبة</t>
  </si>
  <si>
    <t>نقل رصيد من الأجار لدفع العزبة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</si>
</sst>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808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/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rgb="FF000000"/>
      </right>
      <top style="thick">
        <color auto="1"/>
      </top>
      <bottom/>
      <diagonal/>
    </border>
    <border>
      <left style="thin">
        <color auto="1"/>
      </left>
      <right style="thick">
        <color rgb="FF000000"/>
      </right>
      <top style="thin">
        <color auto="1"/>
      </top>
      <bottom/>
      <diagonal/>
    </border>
    <border>
      <left style="thin">
        <color auto="1"/>
      </left>
      <right style="thick">
        <color rgb="FF000000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ck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rgb="FF000000"/>
      </bottom>
      <diagonal/>
    </border>
    <border>
      <left style="thin">
        <color auto="1"/>
      </left>
      <right style="thick">
        <color rgb="FF000000"/>
      </right>
      <top style="thick">
        <color auto="1"/>
      </top>
      <bottom style="thin">
        <color rgb="FF000000"/>
      </bottom>
      <diagonal/>
    </border>
    <border>
      <left style="thin">
        <color auto="1"/>
      </left>
      <right style="thick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16" fontId="1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" fontId="1" fillId="4" borderId="0" xfId="0" applyNumberFormat="1" applyFont="1" applyFill="1" applyAlignment="1">
      <alignment vertical="center"/>
    </xf>
    <xf numFmtId="0" fontId="1" fillId="4" borderId="1" xfId="0" applyFont="1" applyFill="1" applyBorder="1" applyAlignment="1">
      <alignment horizontal="left" vertical="top"/>
    </xf>
    <xf numFmtId="0" fontId="0" fillId="4" borderId="0" xfId="0" applyFill="1"/>
    <xf numFmtId="0" fontId="1" fillId="4" borderId="3" xfId="0" applyFont="1" applyFill="1" applyBorder="1" applyAlignment="1">
      <alignment horizontal="left" vertical="top"/>
    </xf>
    <xf numFmtId="16" fontId="1" fillId="0" borderId="6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" fontId="1" fillId="0" borderId="4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vertical="center"/>
    </xf>
    <xf numFmtId="2" fontId="1" fillId="3" borderId="1" xfId="0" applyNumberFormat="1" applyFont="1" applyFill="1" applyBorder="1" applyAlignment="1">
      <alignment vertical="center"/>
    </xf>
    <xf numFmtId="2" fontId="0" fillId="0" borderId="0" xfId="0" applyNumberFormat="1"/>
    <xf numFmtId="2" fontId="1" fillId="5" borderId="1" xfId="0" applyNumberFormat="1" applyFont="1" applyFill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3" borderId="2" xfId="0" applyNumberFormat="1" applyFont="1" applyFill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2" fontId="1" fillId="3" borderId="10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vertical="center"/>
    </xf>
    <xf numFmtId="17" fontId="2" fillId="4" borderId="0" xfId="0" applyNumberFormat="1" applyFont="1" applyFill="1"/>
    <xf numFmtId="2" fontId="1" fillId="2" borderId="1" xfId="0" applyNumberFormat="1" applyFont="1" applyFill="1" applyBorder="1" applyAlignment="1">
      <alignment vertical="center"/>
    </xf>
    <xf numFmtId="2" fontId="1" fillId="2" borderId="11" xfId="0" applyNumberFormat="1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1" fillId="2" borderId="10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vertical="center"/>
    </xf>
    <xf numFmtId="16" fontId="1" fillId="5" borderId="2" xfId="0" applyNumberFormat="1" applyFont="1" applyFill="1" applyBorder="1" applyAlignment="1">
      <alignment vertical="center"/>
    </xf>
    <xf numFmtId="2" fontId="1" fillId="3" borderId="12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2" fontId="1" fillId="6" borderId="26" xfId="0" applyNumberFormat="1" applyFont="1" applyFill="1" applyBorder="1" applyAlignment="1">
      <alignment horizontal="center" vertical="center"/>
    </xf>
    <xf numFmtId="2" fontId="1" fillId="6" borderId="26" xfId="0" applyNumberFormat="1" applyFont="1" applyFill="1" applyBorder="1" applyAlignment="1">
      <alignment horizontal="center" vertical="center" wrapText="1"/>
    </xf>
    <xf numFmtId="16" fontId="1" fillId="0" borderId="5" xfId="0" applyNumberFormat="1" applyFont="1" applyBorder="1" applyAlignment="1">
      <alignment vertical="center"/>
    </xf>
    <xf numFmtId="2" fontId="1" fillId="0" borderId="8" xfId="0" applyNumberFormat="1" applyFont="1" applyBorder="1" applyAlignment="1">
      <alignment vertical="center"/>
    </xf>
    <xf numFmtId="16" fontId="6" fillId="7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64" fontId="1" fillId="0" borderId="27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28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7" fontId="0" fillId="0" borderId="0" xfId="0" applyNumberFormat="1"/>
    <xf numFmtId="2" fontId="1" fillId="9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7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vertical="center"/>
    </xf>
    <xf numFmtId="2" fontId="1" fillId="2" borderId="34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164" fontId="1" fillId="2" borderId="38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2" fontId="1" fillId="3" borderId="40" xfId="0" applyNumberFormat="1" applyFont="1" applyFill="1" applyBorder="1" applyAlignment="1">
      <alignment horizontal="center" vertical="center"/>
    </xf>
    <xf numFmtId="2" fontId="1" fillId="6" borderId="42" xfId="0" applyNumberFormat="1" applyFont="1" applyFill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2" fontId="1" fillId="5" borderId="45" xfId="0" applyNumberFormat="1" applyFont="1" applyFill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2" fontId="1" fillId="0" borderId="43" xfId="0" applyNumberFormat="1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2" fontId="1" fillId="5" borderId="45" xfId="0" applyNumberFormat="1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10" borderId="44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2" fontId="1" fillId="5" borderId="18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" fontId="1" fillId="5" borderId="29" xfId="0" applyNumberFormat="1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1" fillId="6" borderId="17" xfId="0" applyNumberFormat="1" applyFont="1" applyFill="1" applyBorder="1" applyAlignment="1">
      <alignment horizontal="center" vertical="center"/>
    </xf>
    <xf numFmtId="2" fontId="1" fillId="6" borderId="42" xfId="0" applyNumberFormat="1" applyFont="1" applyFill="1" applyBorder="1" applyAlignment="1">
      <alignment horizontal="center" vertical="center"/>
    </xf>
    <xf numFmtId="16" fontId="1" fillId="5" borderId="2" xfId="0" applyNumberFormat="1" applyFont="1" applyFill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8" borderId="5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164" fontId="1" fillId="0" borderId="53" xfId="0" applyNumberFormat="1" applyFont="1" applyBorder="1" applyAlignment="1">
      <alignment horizontal="center" vertical="center"/>
    </xf>
    <xf numFmtId="164" fontId="1" fillId="0" borderId="5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3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rgb="FF000000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E8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62CB9-596D-4381-97B7-62ECF583CDA2}" name="Table52" displayName="Table52" ref="B3:F9" totalsRowShown="0" headerRowDxfId="312" headerRowBorderDxfId="311" tableBorderDxfId="310" totalsRowBorderDxfId="309">
  <autoFilter ref="B3:F9" xr:uid="{3E62A328-AD6E-48B2-A699-07AB142B3434}"/>
  <tableColumns count="5">
    <tableColumn id="1" xr3:uid="{77364C36-1746-4A88-91E4-1190CDC18103}" name="Date" dataDxfId="308"/>
    <tableColumn id="2" xr3:uid="{800BCA27-ECC8-4824-86BC-BE4594371626}" name="Description" dataDxfId="307"/>
    <tableColumn id="5" xr3:uid="{1D7B4480-1FF5-44C4-9412-95A81C1BF879}" name="Rental Amounts" dataDxfId="306"/>
    <tableColumn id="3" xr3:uid="{B343C62A-37C6-46F9-8B9F-440ED013E240}" name="General Expenses" dataDxfId="305"/>
    <tableColumn id="4" xr3:uid="{9A6D64BF-B8FD-4769-9BFC-76FA185D5091}" name="Comments" dataDxfId="3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1263B9-E6F3-4414-9F99-0A69D5229703}" name="Table5240" displayName="Table5240" ref="B3:F14" totalsRowShown="0" headerRowDxfId="321" headerRowBorderDxfId="320" tableBorderDxfId="319" totalsRowBorderDxfId="318">
  <autoFilter ref="B3:F14" xr:uid="{3E62A328-AD6E-48B2-A699-07AB142B3434}"/>
  <tableColumns count="5">
    <tableColumn id="1" xr3:uid="{DC69C7C0-9FC3-4D47-B9DA-EABE938C7483}" name="Date" dataDxfId="317"/>
    <tableColumn id="2" xr3:uid="{B93F1828-8FAA-4039-9459-BDF6550CC6CA}" name="Description" dataDxfId="316"/>
    <tableColumn id="5" xr3:uid="{B265A6FB-EFF0-42DD-A3E6-612B19FA9A47}" name="Rental Amounts" dataDxfId="315"/>
    <tableColumn id="3" xr3:uid="{B3AA0C51-56B3-4FB2-86DB-CB9171D472DF}" name="General Expenses" dataDxfId="314"/>
    <tableColumn id="4" xr3:uid="{C43A1CDC-2AEA-477C-87AD-8427A09D4D9A}" name="Comments" dataDxfId="3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50E7531-E441-44A3-B3D0-0641A91FCF97}" name="Table5243" displayName="Table5243" ref="B3:G4" insertRow="1" totalsRowShown="0" headerRowDxfId="303" headerRowBorderDxfId="302" tableBorderDxfId="301" totalsRowBorderDxfId="300">
  <autoFilter ref="B3:G4" xr:uid="{3E62A328-AD6E-48B2-A699-07AB142B3434}"/>
  <tableColumns count="6">
    <tableColumn id="1" xr3:uid="{F2237301-754B-47B4-96BA-C6E5B0BB89D4}" name="Date" dataDxfId="299"/>
    <tableColumn id="2" xr3:uid="{2805320C-3C90-4FBD-8517-7283F1FDDDF5}" name="Description" dataDxfId="298"/>
    <tableColumn id="5" xr3:uid="{4AE595F2-D4CC-43B1-8C6F-75D094F250A6}" name="Rental Amounts" dataDxfId="297"/>
    <tableColumn id="3" xr3:uid="{3ABEC589-5547-4F6D-8538-506F5574EEF5}" name="General Expenses" dataDxfId="296"/>
    <tableColumn id="4" xr3:uid="{93156758-56B2-4C91-A81C-44F5944C7CB5}" name="Comments" dataDxfId="295"/>
    <tableColumn id="6" xr3:uid="{D9F9D596-9A1D-4458-898C-CEA365DABCE8}" name="Column1" dataDxfId="29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08C44-F2F5-4584-913D-DD0A472A5F82}" name="Table3" displayName="Table3" ref="A22:D40" totalsRowShown="0" headerRowBorderDxfId="293" tableBorderDxfId="292" totalsRowBorderDxfId="291">
  <autoFilter ref="A22:D40" xr:uid="{6A708C44-F2F5-4584-913D-DD0A472A5F82}"/>
  <tableColumns count="4">
    <tableColumn id="1" xr3:uid="{FDAC8048-8290-4C04-9DC0-EE08855B5082}" name="Date" dataDxfId="290"/>
    <tableColumn id="2" xr3:uid="{5FC23500-E5BC-45E2-9F20-92D80331184A}" name="Description" dataDxfId="289"/>
    <tableColumn id="3" xr3:uid="{13CFA113-6902-4082-9EB4-5C37FC33813D}" name="Amount" dataDxfId="288"/>
    <tableColumn id="4" xr3:uid="{0A2E9BCA-BC25-4D84-B5C4-B5F3BDD8CD8E}" name="Paid By" dataDxfId="28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463B2B-140C-4BDB-8DD5-F6096215EFE7}" name="Table4" displayName="Table4" ref="A7:D15" totalsRowShown="0" headerRowBorderDxfId="286" tableBorderDxfId="285" totalsRowBorderDxfId="284">
  <autoFilter ref="A7:D15" xr:uid="{80463B2B-140C-4BDB-8DD5-F6096215EFE7}"/>
  <tableColumns count="4">
    <tableColumn id="1" xr3:uid="{FD3BE87C-4466-4687-B27A-E8940E3F9FBD}" name="Date" dataDxfId="283"/>
    <tableColumn id="2" xr3:uid="{18AAB156-0E8F-4C3E-96E5-64F670C6DA90}" name="Description" dataDxfId="282"/>
    <tableColumn id="3" xr3:uid="{8B5CAF20-764D-4111-8B94-302778960CBC}" name="Amount" dataDxfId="281"/>
    <tableColumn id="4" xr3:uid="{CB460B0E-5B97-4CA4-8299-C89F76979F64}" name="Paid By" dataDxfId="28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116159-1DBD-4123-96D0-93E844246614}" name="Table43" displayName="Table43" ref="A49:D68" totalsRowShown="0" headerRowBorderDxfId="279" tableBorderDxfId="278" totalsRowBorderDxfId="277">
  <autoFilter ref="A49:D68" xr:uid="{AE116159-1DBD-4123-96D0-93E844246614}"/>
  <tableColumns count="4">
    <tableColumn id="1" xr3:uid="{EA7D064C-7D27-42A8-B08A-E79C1F5C4B07}" name="Date" dataDxfId="276"/>
    <tableColumn id="2" xr3:uid="{6CE4DF82-E169-40D6-9ABE-2954EFB1C2FE}" name="Description" dataDxfId="275"/>
    <tableColumn id="3" xr3:uid="{DAD651FA-371A-42D0-9AD3-8D1408ADD3E5}" name="Amount" dataDxfId="274"/>
    <tableColumn id="4" xr3:uid="{568C6EA1-E4C5-4D11-8421-72C8BF0F4E1F}" name="Paid By" dataDxfId="27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5C18281-E39A-4B7E-A3AC-016489157BAC}" name="Table336" displayName="Table336" ref="A20:D34" totalsRowShown="0" headerRowBorderDxfId="272" tableBorderDxfId="271" totalsRowBorderDxfId="270">
  <autoFilter ref="A20:D34" xr:uid="{6A708C44-F2F5-4584-913D-DD0A472A5F82}"/>
  <tableColumns count="4">
    <tableColumn id="1" xr3:uid="{FB116B9F-7435-432F-A3ED-C2FFC1FDE5C7}" name="Date" dataDxfId="269"/>
    <tableColumn id="2" xr3:uid="{14BA35C9-7AF6-47C0-8EBE-AC480CAB2FF4}" name="Description" dataDxfId="268"/>
    <tableColumn id="3" xr3:uid="{B6B7BD15-6A65-407C-AD0F-3B69CD99CC81}" name="Amount" dataDxfId="267"/>
    <tableColumn id="4" xr3:uid="{3ADD6193-50AF-4440-9BE6-C3D3D0518ECF}" name="Paid By" dataDxfId="2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819E474-256E-4082-994B-F57EAF9FD90D}" name="Table437" displayName="Table437" ref="A7:D13" totalsRowShown="0" headerRowBorderDxfId="265" tableBorderDxfId="264" totalsRowBorderDxfId="263">
  <autoFilter ref="A7:D13" xr:uid="{80463B2B-140C-4BDB-8DD5-F6096215EFE7}"/>
  <tableColumns count="4">
    <tableColumn id="1" xr3:uid="{10F3A47E-0648-4410-AF72-72AFFB8D3A8E}" name="Date" dataDxfId="262"/>
    <tableColumn id="2" xr3:uid="{52793A16-BCE6-4572-8CC0-6401EAECA7BD}" name="Description" dataDxfId="261"/>
    <tableColumn id="3" xr3:uid="{004BE8B9-5664-4438-9A21-A8A5096E8076}" name="Amount" dataDxfId="260"/>
    <tableColumn id="4" xr3:uid="{F57AB8F0-F802-42F5-87EE-5F688394D34D}" name="Paid By" dataDxfId="2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2084082-3BBE-4F33-88F9-92670DEFC821}" name="Table4338" displayName="Table4338" ref="A43:D61" totalsRowShown="0" headerRowBorderDxfId="258" tableBorderDxfId="257" totalsRowBorderDxfId="256">
  <autoFilter ref="A43:D61" xr:uid="{AE116159-1DBD-4123-96D0-93E844246614}"/>
  <tableColumns count="4">
    <tableColumn id="1" xr3:uid="{78799EB4-56D6-4BCA-A74B-F61F4C7957C2}" name="Date" dataDxfId="255"/>
    <tableColumn id="2" xr3:uid="{B46C4ECC-41F7-4C36-809B-C5FA8FB381BC}" name="Description" dataDxfId="254"/>
    <tableColumn id="3" xr3:uid="{9B3E7190-CFE1-4ADA-B98A-0C8A78660906}" name="Amount" dataDxfId="253"/>
    <tableColumn id="4" xr3:uid="{E315B8B6-6DF1-48FC-AFAC-D45D9350B61B}" name="Paid By" dataDxfId="25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160C5C-BA2F-4B0C-853D-5A4211700325}" name="Table3366" displayName="Table3366" ref="A20:D34" totalsRowShown="0" headerRowBorderDxfId="251" tableBorderDxfId="250" totalsRowBorderDxfId="249">
  <autoFilter ref="A20:D34" xr:uid="{6A708C44-F2F5-4584-913D-DD0A472A5F82}"/>
  <tableColumns count="4">
    <tableColumn id="1" xr3:uid="{5EECD131-FB4A-4842-BBB3-069E16E70B25}" name="Date" dataDxfId="248"/>
    <tableColumn id="2" xr3:uid="{3C5CCA34-80FF-401F-85CE-EAFE06484DF5}" name="Description" dataDxfId="247"/>
    <tableColumn id="3" xr3:uid="{190C798B-F1D8-4E41-9D9A-6338FCAA5513}" name="Amount" dataDxfId="246"/>
    <tableColumn id="4" xr3:uid="{410F52D8-6787-4257-85BD-F47EAAF99781}" name="Paid By" dataDxfId="24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BC5E06-9C6A-4FFD-BA86-691A7B084DC2}" name="Table4377" displayName="Table4377" ref="A7:D13" totalsRowShown="0" headerRowBorderDxfId="244" tableBorderDxfId="243" totalsRowBorderDxfId="242">
  <autoFilter ref="A7:D13" xr:uid="{80463B2B-140C-4BDB-8DD5-F6096215EFE7}"/>
  <tableColumns count="4">
    <tableColumn id="1" xr3:uid="{DB888D53-21A0-4F13-9D3F-800B099EAF68}" name="Date" dataDxfId="241"/>
    <tableColumn id="2" xr3:uid="{0A9FD57F-2F02-4D96-BB34-2EEB1B60A454}" name="Description" dataDxfId="240"/>
    <tableColumn id="3" xr3:uid="{4E61F633-B7AA-4A0D-8D1F-E160E7ACC4D9}" name="Amount" dataDxfId="239"/>
    <tableColumn id="4" xr3:uid="{4F868BBC-5B72-48EF-B18D-720E87367B93}" name="Paid By" dataDxfId="23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225E74-9899-46AC-A30E-DAC06BACD71B}" name="Table43388" displayName="Table43388" ref="A43:D62" totalsRowShown="0" headerRowBorderDxfId="237" tableBorderDxfId="236" totalsRowBorderDxfId="235">
  <autoFilter ref="A43:D62" xr:uid="{AE116159-1DBD-4123-96D0-93E844246614}"/>
  <tableColumns count="4">
    <tableColumn id="1" xr3:uid="{FEAA96A5-348B-4A82-AED7-4A53CFDD8E84}" name="Date" dataDxfId="234"/>
    <tableColumn id="2" xr3:uid="{EA8402E2-BDB6-41B7-A6EC-65DE8ABD961F}" name="Description" dataDxfId="233"/>
    <tableColumn id="3" xr3:uid="{8FF6A1D5-0C4A-451C-9BD7-63C3F8596926}" name="Amount" dataDxfId="232"/>
    <tableColumn id="4" xr3:uid="{47DD7AF9-1924-48B3-939D-32F7ED5B1F98}" name="Paid By" dataDxfId="23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6C14C9-8C9D-4E94-B99E-C3643562A125}" name="Table33669" displayName="Table33669" ref="A20:D34" totalsRowShown="0" headerRowBorderDxfId="230" tableBorderDxfId="229" totalsRowBorderDxfId="228">
  <autoFilter ref="A20:D34" xr:uid="{6A708C44-F2F5-4584-913D-DD0A472A5F82}"/>
  <tableColumns count="4">
    <tableColumn id="1" xr3:uid="{17A5657E-417F-4F20-9EF6-A1C1C5A701DA}" name="Date" dataDxfId="227"/>
    <tableColumn id="2" xr3:uid="{FE03BF07-4AC8-40B3-8473-4452C8FEA4EA}" name="Description" dataDxfId="226"/>
    <tableColumn id="3" xr3:uid="{733C9BC2-92BA-4D92-990E-0D4DF4A9766A}" name="Amount" dataDxfId="225"/>
    <tableColumn id="4" xr3:uid="{6EC42129-0D7D-42EE-AC82-1FF1F8E14D2B}" name="Paid By" dataDxfId="22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AB448D-671C-47A3-A19B-2BC66E10243B}" name="Table437710" displayName="Table437710" ref="A7:D13" totalsRowShown="0" headerRowBorderDxfId="223" tableBorderDxfId="222" totalsRowBorderDxfId="221">
  <autoFilter ref="A7:D13" xr:uid="{80463B2B-140C-4BDB-8DD5-F6096215EFE7}"/>
  <tableColumns count="4">
    <tableColumn id="1" xr3:uid="{163E395B-CF5C-4180-AC2F-6C6E2E12A485}" name="Date" dataDxfId="220"/>
    <tableColumn id="2" xr3:uid="{297A7B42-A57B-488F-91C2-D9992D385359}" name="Description" dataDxfId="219"/>
    <tableColumn id="3" xr3:uid="{DB353452-F239-48A1-B829-4B211F51E40C}" name="Amount" dataDxfId="218">
      <calculatedColumnFormula>SUM(C3:C7)</calculatedColumnFormula>
    </tableColumn>
    <tableColumn id="4" xr3:uid="{5ECBAABA-C806-408E-ABE0-2C9199C33B09}" name="Paid By" dataDxfId="21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480E432-0651-44CF-976E-794D21D86425}" name="Table4338811" displayName="Table4338811" ref="A43:D62" totalsRowShown="0" headerRowBorderDxfId="216" tableBorderDxfId="215" totalsRowBorderDxfId="214">
  <autoFilter ref="A43:D62" xr:uid="{AE116159-1DBD-4123-96D0-93E844246614}"/>
  <tableColumns count="4">
    <tableColumn id="1" xr3:uid="{2FC74139-6F14-417D-8308-8AD9309DAFED}" name="Date" dataDxfId="213"/>
    <tableColumn id="2" xr3:uid="{3A0C7C0E-1202-4CDD-B532-D7C285A8233F}" name="Description" dataDxfId="212"/>
    <tableColumn id="3" xr3:uid="{DFEC93BE-67F9-450C-A06A-42C5D6676F2C}" name="Amount" dataDxfId="211">
      <calculatedColumnFormula>SUM(C26:C43)</calculatedColumnFormula>
    </tableColumn>
    <tableColumn id="4" xr3:uid="{59BF0E82-5531-4A2A-BD7F-E66AD93089D7}" name="Paid By" dataDxfId="21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D000E5-81C1-46E8-B58F-8EB05F87F772}" name="Table3366912" displayName="Table3366912" ref="A20:D34" totalsRowShown="0" headerRowBorderDxfId="209" tableBorderDxfId="208" totalsRowBorderDxfId="207">
  <autoFilter ref="A20:D34" xr:uid="{6A708C44-F2F5-4584-913D-DD0A472A5F82}"/>
  <tableColumns count="4">
    <tableColumn id="1" xr3:uid="{A6AA396C-DE65-4FE8-8D32-FBF0AD63769C}" name="Date" dataDxfId="206"/>
    <tableColumn id="2" xr3:uid="{CCCC414C-6E2C-49C6-ABAA-70C42B13A185}" name="Description" dataDxfId="205"/>
    <tableColumn id="3" xr3:uid="{E6650424-1ED9-4B86-AA3C-C2F839FC5428}" name="Amount" dataDxfId="204"/>
    <tableColumn id="4" xr3:uid="{A747EFEF-B3B2-455D-ACD7-216FEA6721E8}" name="Paid By" dataDxfId="2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1B5728-ACF3-4DF5-A0F2-3583A7495A9C}" name="Table43771013" displayName="Table43771013" ref="A7:D13" totalsRowShown="0" headerRowBorderDxfId="202" tableBorderDxfId="201" totalsRowBorderDxfId="200">
  <autoFilter ref="A7:D13" xr:uid="{80463B2B-140C-4BDB-8DD5-F6096215EFE7}"/>
  <tableColumns count="4">
    <tableColumn id="1" xr3:uid="{4818C606-764B-42E6-97AA-9D840248092D}" name="Date" dataDxfId="199"/>
    <tableColumn id="2" xr3:uid="{E44330A6-36BB-4570-9276-5F5E6D2D4FD1}" name="Description" dataDxfId="198"/>
    <tableColumn id="3" xr3:uid="{94B75499-45AA-4794-8AE3-BD587610BCA9}" name="Amount" dataDxfId="197"/>
    <tableColumn id="4" xr3:uid="{CAA58807-A6AA-41A2-815B-1A0A5072E371}" name="Paid By" dataDxfId="19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BB4F58-3B23-4D5D-94BD-BA5C0FD739AA}" name="Table433881114" displayName="Table433881114" ref="A43:D62" totalsRowShown="0" headerRowBorderDxfId="195" tableBorderDxfId="194" totalsRowBorderDxfId="193">
  <autoFilter ref="A43:D62" xr:uid="{AE116159-1DBD-4123-96D0-93E844246614}"/>
  <tableColumns count="4">
    <tableColumn id="1" xr3:uid="{27132BDD-657B-4742-9B4D-C557284035D6}" name="Date" dataDxfId="192"/>
    <tableColumn id="2" xr3:uid="{7AB689BC-D770-4DB7-8272-24EB5BE48349}" name="Description" dataDxfId="191"/>
    <tableColumn id="3" xr3:uid="{BF1CB370-7CD9-4C7A-9552-85B45DDD375F}" name="Amount" dataDxfId="190"/>
    <tableColumn id="4" xr3:uid="{BA796531-8941-4498-859E-87BB0EBF6490}" name="Paid By" dataDxfId="18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66502F-5FDD-4446-966F-9AE29837A11C}" name="Table336691215" displayName="Table336691215" ref="A24:D38" totalsRowShown="0" headerRowBorderDxfId="188" tableBorderDxfId="187" totalsRowBorderDxfId="186">
  <autoFilter ref="A24:D38" xr:uid="{6A708C44-F2F5-4584-913D-DD0A472A5F82}"/>
  <tableColumns count="4">
    <tableColumn id="1" xr3:uid="{808AE6FE-4211-4904-A382-ABE5487FC961}" name="Date" dataDxfId="185"/>
    <tableColumn id="2" xr3:uid="{A635D64A-C285-4170-8C55-AB4492E85220}" name="Description" dataDxfId="184"/>
    <tableColumn id="3" xr3:uid="{47FB2676-2C3B-4F05-BBF2-BE83BDC1EFDB}" name="Amount" dataDxfId="183">
      <calculatedColumnFormula>SUM(C12:C24)</calculatedColumnFormula>
    </tableColumn>
    <tableColumn id="4" xr3:uid="{7CC6D46C-1DB4-4397-8077-A8E183ED6AF0}" name="Paid By" dataDxfId="18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62D739-FC12-42E1-A1C3-E3EF8BC95FC4}" name="Table4377101316" displayName="Table4377101316" ref="A7:D17" totalsRowShown="0" headerRowBorderDxfId="181" tableBorderDxfId="180" totalsRowBorderDxfId="179">
  <autoFilter ref="A7:D17" xr:uid="{80463B2B-140C-4BDB-8DD5-F6096215EFE7}"/>
  <tableColumns count="4">
    <tableColumn id="1" xr3:uid="{C9EE698F-A4BF-4194-80C8-53E55D2BB06B}" name="Date" dataDxfId="178"/>
    <tableColumn id="2" xr3:uid="{726AFABD-9D37-4303-AF72-441EFC76AED1}" name="Description" dataDxfId="177"/>
    <tableColumn id="3" xr3:uid="{7D14BC9C-1558-49A8-950E-55649A6ED911}" name="Amount" dataDxfId="176"/>
    <tableColumn id="4" xr3:uid="{00D32B9B-859F-40C2-8368-12E9C22E5301}" name="Paid By" dataDxfId="17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B340DBB-FF2E-47EE-97C7-D97A5C5CD574}" name="Table43388111417" displayName="Table43388111417" ref="A47:D66" totalsRowShown="0" headerRowBorderDxfId="174" tableBorderDxfId="173" totalsRowBorderDxfId="172">
  <autoFilter ref="A47:D66" xr:uid="{AE116159-1DBD-4123-96D0-93E844246614}"/>
  <tableColumns count="4">
    <tableColumn id="1" xr3:uid="{C4C14CA2-02DC-48B0-B1D8-80707DC73D39}" name="Date" dataDxfId="171"/>
    <tableColumn id="2" xr3:uid="{717D1D51-9F07-429E-AC3D-6A32C0FAA97C}" name="Description" dataDxfId="170"/>
    <tableColumn id="3" xr3:uid="{39B3B5C9-DE5E-4669-8012-F50F1421C0C0}" name="Amount" dataDxfId="169"/>
    <tableColumn id="4" xr3:uid="{0309C5EA-A715-443B-83EA-EF21C4219007}" name="Paid By" dataDxfId="1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D90E870-BACE-4A8C-A3F7-1DA7E4E04FA7}" name="Table336691218" displayName="Table336691218" ref="A24:D38" totalsRowShown="0" headerRowBorderDxfId="167" tableBorderDxfId="166" totalsRowBorderDxfId="165">
  <autoFilter ref="A24:D38" xr:uid="{6A708C44-F2F5-4584-913D-DD0A472A5F82}"/>
  <tableColumns count="4">
    <tableColumn id="1" xr3:uid="{C53585D0-6AE6-4BFA-A0C0-E70CEFE60C8D}" name="Date" dataDxfId="164"/>
    <tableColumn id="2" xr3:uid="{8E9BBBC4-3E26-406C-AF88-90412E1EA979}" name="Description" dataDxfId="163"/>
    <tableColumn id="3" xr3:uid="{A98BED95-97DA-441A-9E8C-DB790DD65809}" name="Amount" dataDxfId="162">
      <calculatedColumnFormula>SUM(C12:C24)</calculatedColumnFormula>
    </tableColumn>
    <tableColumn id="4" xr3:uid="{5687E042-223B-4809-8504-E3612041CAF0}" name="Paid By" dataDxfId="16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79844C9-E611-4E7E-A1DB-4578CA17351E}" name="Table4377101319" displayName="Table4377101319" ref="A7:D17" totalsRowShown="0" headerRowBorderDxfId="160" tableBorderDxfId="159" totalsRowBorderDxfId="158">
  <autoFilter ref="A7:D17" xr:uid="{80463B2B-140C-4BDB-8DD5-F6096215EFE7}"/>
  <tableColumns count="4">
    <tableColumn id="1" xr3:uid="{30562863-A273-48EF-90EB-915D440C35F2}" name="Date" dataDxfId="157"/>
    <tableColumn id="2" xr3:uid="{9BA0E912-47BC-4136-B5F1-6089F2F03BF5}" name="Description" dataDxfId="156"/>
    <tableColumn id="3" xr3:uid="{BC18368B-ECB7-4338-B6A0-16230D58EA3E}" name="Amount" dataDxfId="155"/>
    <tableColumn id="4" xr3:uid="{5A211BB6-B5DF-42E6-BBC5-A38998582D8C}" name="Paid By" dataDxfId="154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E63A8C4-4B7D-46BB-A435-3E92327C079F}" name="Table43388111420" displayName="Table43388111420" ref="A47:D66" totalsRowShown="0" headerRowBorderDxfId="153" tableBorderDxfId="152" totalsRowBorderDxfId="151">
  <autoFilter ref="A47:D66" xr:uid="{AE116159-1DBD-4123-96D0-93E844246614}"/>
  <tableColumns count="4">
    <tableColumn id="1" xr3:uid="{F3C725B5-098D-4CCA-80EC-690394218C68}" name="Date" dataDxfId="150"/>
    <tableColumn id="2" xr3:uid="{A9571D35-C809-4A65-948B-1687E0D599D4}" name="Description" dataDxfId="149"/>
    <tableColumn id="3" xr3:uid="{339BC089-8CAE-44AE-97A4-D5631FBD9FDD}" name="Amount" dataDxfId="148"/>
    <tableColumn id="4" xr3:uid="{14D15AC4-F6EC-402F-B91B-82EB804BB6A1}" name="Paid By" dataDxfId="14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AA7DD00-A276-46AD-A264-244349BAD1F0}" name="Table33669121821" displayName="Table33669121821" ref="A24:D38" totalsRowShown="0" headerRowBorderDxfId="146" tableBorderDxfId="145" totalsRowBorderDxfId="144">
  <autoFilter ref="A24:D38" xr:uid="{6A708C44-F2F5-4584-913D-DD0A472A5F82}"/>
  <tableColumns count="4">
    <tableColumn id="1" xr3:uid="{B1731B75-B6E6-42C3-B229-C6EC3BCD1826}" name="Date" dataDxfId="143"/>
    <tableColumn id="2" xr3:uid="{88A20CB7-D4E4-4E90-9490-3A798EFDFDF2}" name="Description" dataDxfId="142"/>
    <tableColumn id="3" xr3:uid="{3013BD54-6EA5-44C5-8DBD-AE99A9D0089A}" name="Amount" dataDxfId="141">
      <calculatedColumnFormula>SUM(C12:C24)</calculatedColumnFormula>
    </tableColumn>
    <tableColumn id="4" xr3:uid="{CAFA86F2-9D31-4BB0-B000-539E508BBF65}" name="Paid By" dataDxfId="14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FD3850-A3E0-4EE1-A978-171CE78FE6CD}" name="Table437710131922" displayName="Table437710131922" ref="A7:D17" totalsRowShown="0" headerRowBorderDxfId="139" tableBorderDxfId="138" totalsRowBorderDxfId="137">
  <autoFilter ref="A7:D17" xr:uid="{80463B2B-140C-4BDB-8DD5-F6096215EFE7}"/>
  <tableColumns count="4">
    <tableColumn id="1" xr3:uid="{4980F52A-54AE-47B1-9996-5773626FA714}" name="Date" dataDxfId="136"/>
    <tableColumn id="2" xr3:uid="{C2CC07CE-8A3F-4959-AD03-FDBD51E51ED7}" name="Description" dataDxfId="135"/>
    <tableColumn id="3" xr3:uid="{2B40D35C-4792-4F29-80FE-0877009BD242}" name="Amount" dataDxfId="134"/>
    <tableColumn id="4" xr3:uid="{B72BC297-9664-4424-A169-1F79405D95CF}" name="Paid By" dataDxfId="13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EC305AF-FA8A-4050-9FF3-DA9EF09972B8}" name="Table4338811142023" displayName="Table4338811142023" ref="A47:D66" totalsRowShown="0" headerRowBorderDxfId="132" tableBorderDxfId="131" totalsRowBorderDxfId="130">
  <autoFilter ref="A47:D66" xr:uid="{AE116159-1DBD-4123-96D0-93E844246614}"/>
  <tableColumns count="4">
    <tableColumn id="1" xr3:uid="{D3AF7775-2CCD-4A19-ACCD-096B986B1C3D}" name="Date" dataDxfId="129"/>
    <tableColumn id="2" xr3:uid="{C7380F3D-D985-43E1-9F7E-8F76CC70B139}" name="Description" dataDxfId="128"/>
    <tableColumn id="3" xr3:uid="{18F5D96F-A532-4158-9D7C-702A361C0B48}" name="Amount" dataDxfId="127"/>
    <tableColumn id="4" xr3:uid="{F1E2608A-9FE4-4037-BE08-DCB4F712F65F}" name="Paid By" dataDxfId="12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DCCAD279-9F65-4209-B88E-8E8854D78F06}" name="Table433881114202344" displayName="Table433881114202344" ref="A73:D92" totalsRowShown="0" headerRowBorderDxfId="125" tableBorderDxfId="124" totalsRowBorderDxfId="123">
  <autoFilter ref="A73:D92" xr:uid="{DCCAD279-9F65-4209-B88E-8E8854D78F06}"/>
  <tableColumns count="4">
    <tableColumn id="1" xr3:uid="{06BAD5A4-CA39-4572-9046-EF9EDF9C1EA3}" name="Date" dataDxfId="122"/>
    <tableColumn id="2" xr3:uid="{F80EDE8E-CE6A-436A-88B3-B7AF757F7C70}" name="Description" dataDxfId="121"/>
    <tableColumn id="3" xr3:uid="{400A1F24-371B-4FEC-8777-3A27BFD10054}" name="Amount" dataDxfId="120"/>
    <tableColumn id="4" xr3:uid="{1ECF3D7C-116A-4DEF-8BEC-5660C4F33108}" name="Paid By" dataDxfId="11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7E51C2D-F5B2-4E7C-A935-E890FDCEC031}" name="Table33669121824" displayName="Table33669121824" ref="A24:D38" totalsRowShown="0" headerRowBorderDxfId="118" tableBorderDxfId="117" totalsRowBorderDxfId="116">
  <autoFilter ref="A24:D38" xr:uid="{6A708C44-F2F5-4584-913D-DD0A472A5F82}"/>
  <tableColumns count="4">
    <tableColumn id="1" xr3:uid="{E96303EF-7738-4CF3-8123-697A234B6A09}" name="Date" dataDxfId="115"/>
    <tableColumn id="2" xr3:uid="{3312BBFC-D7AE-40F5-88BB-4F2090965B2F}" name="Description" dataDxfId="114"/>
    <tableColumn id="3" xr3:uid="{C94D8547-46A3-4E49-A1BF-F443AA3C2C53}" name="Amount" dataDxfId="113">
      <calculatedColumnFormula>SUM(C12:C24)</calculatedColumnFormula>
    </tableColumn>
    <tableColumn id="4" xr3:uid="{98BC32BE-6DE5-47D3-B457-8BC83D131AD2}" name="Paid By" dataDxfId="11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F2ABF5D-5B79-469B-B903-3B9692622F85}" name="Table437710131925" displayName="Table437710131925" ref="A7:D17" totalsRowShown="0" headerRowBorderDxfId="111" tableBorderDxfId="110" totalsRowBorderDxfId="109">
  <autoFilter ref="A7:D17" xr:uid="{80463B2B-140C-4BDB-8DD5-F6096215EFE7}"/>
  <tableColumns count="4">
    <tableColumn id="1" xr3:uid="{615F6B0D-B523-49B3-8972-E6BDE41F4859}" name="Date" dataDxfId="108"/>
    <tableColumn id="2" xr3:uid="{02BB9A1A-BCF3-4DC6-BA28-DC3C9B0AECFB}" name="Description" dataDxfId="107"/>
    <tableColumn id="3" xr3:uid="{D44C4E7F-B5DC-4EAE-A711-C97BE01DE42A}" name="Amount" dataDxfId="106"/>
    <tableColumn id="4" xr3:uid="{A23C051D-4BC9-4A39-88F3-25B4C66241CC}" name="Paid By" dataDxfId="105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6DABE51-EFA7-4EAE-A920-C295253AF3A7}" name="Table4338811142026" displayName="Table4338811142026" ref="A47:D66" totalsRowShown="0" headerRowBorderDxfId="104" tableBorderDxfId="103" totalsRowBorderDxfId="102">
  <autoFilter ref="A47:D66" xr:uid="{AE116159-1DBD-4123-96D0-93E844246614}"/>
  <tableColumns count="4">
    <tableColumn id="1" xr3:uid="{D039F970-B7C3-4BB7-A0CC-F3C1C1413BCE}" name="Date" dataDxfId="101"/>
    <tableColumn id="2" xr3:uid="{CD6B28B9-E1BA-45E1-A87D-182D0CEB759C}" name="Description" dataDxfId="100"/>
    <tableColumn id="3" xr3:uid="{A3FCD3D7-84EB-4548-A8A2-06E9A504325A}" name="Amount" dataDxfId="99"/>
    <tableColumn id="4" xr3:uid="{FC3CA437-82BE-4E86-B440-284EFF667BD1}" name="Paid By" dataDxfId="98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778689F-2BFC-4B59-9BC3-6F2D285CA176}" name="Table43388111420234445" displayName="Table43388111420234445" ref="A73:D92" totalsRowShown="0" headerRowBorderDxfId="97" tableBorderDxfId="96" totalsRowBorderDxfId="95">
  <autoFilter ref="A73:D92" xr:uid="{4778689F-2BFC-4B59-9BC3-6F2D285CA176}"/>
  <tableColumns count="4">
    <tableColumn id="1" xr3:uid="{C3F8C764-F3AD-47FE-B87E-CF519A8E8082}" name="Date" dataDxfId="94"/>
    <tableColumn id="2" xr3:uid="{684ECC90-39BE-4070-AC82-9CAF035C55E9}" name="Description" dataDxfId="93"/>
    <tableColumn id="3" xr3:uid="{FA95CD63-236C-495B-9398-FD64B36F0D98}" name="Amount" dataDxfId="92"/>
    <tableColumn id="4" xr3:uid="{00A88C5F-B24E-4AA6-A697-BD47D45EA6B8}" name="Paid By" dataDxfId="9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C76343A-2CE7-4EC3-BBD8-CF6A3A4B3483}" name="Table3366912182427" displayName="Table3366912182427" ref="A24:D39" totalsRowShown="0" headerRowBorderDxfId="90" tableBorderDxfId="89" totalsRowBorderDxfId="88">
  <autoFilter ref="A24:D39" xr:uid="{6A708C44-F2F5-4584-913D-DD0A472A5F82}"/>
  <tableColumns count="4">
    <tableColumn id="1" xr3:uid="{196BD304-5519-408A-A6BB-1615EA264D8F}" name="Date" dataDxfId="87"/>
    <tableColumn id="2" xr3:uid="{3AB38D40-EC99-4014-B2E0-7E944C56F35D}" name="Description" dataDxfId="86"/>
    <tableColumn id="3" xr3:uid="{2EF4EEAE-B365-4536-8D8E-210877CF3F1F}" name="Amount" dataDxfId="85">
      <calculatedColumnFormula>SUM(C12:C24)</calculatedColumnFormula>
    </tableColumn>
    <tableColumn id="4" xr3:uid="{5CECE71A-950B-4EF0-885D-B5C836587240}" name="Paid By" dataDxfId="84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BE90AB7-F7AD-4284-9F94-EE91EADFD0DC}" name="Table43771013192528" displayName="Table43771013192528" ref="A7:D17" totalsRowShown="0" headerRowBorderDxfId="83" tableBorderDxfId="82" totalsRowBorderDxfId="81">
  <autoFilter ref="A7:D17" xr:uid="{80463B2B-140C-4BDB-8DD5-F6096215EFE7}"/>
  <tableColumns count="4">
    <tableColumn id="1" xr3:uid="{0B565F45-DA6F-4EEF-85AF-ADD60104E697}" name="Date" dataDxfId="80"/>
    <tableColumn id="2" xr3:uid="{0080A63F-5189-4A7A-AB81-B9E27425BD4D}" name="Description" dataDxfId="79"/>
    <tableColumn id="3" xr3:uid="{89F8AE81-8867-4541-B9E9-E35E4C0A2E09}" name="Amount" dataDxfId="78"/>
    <tableColumn id="4" xr3:uid="{E7A0F857-9959-44E1-8B8B-49A1EE7F041E}" name="Paid By" dataDxfId="7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514BEDE-361F-4287-A87A-19A4A1DE7EC6}" name="Table433881114202629" displayName="Table433881114202629" ref="A48:D67" totalsRowShown="0" headerRowBorderDxfId="76" tableBorderDxfId="75" totalsRowBorderDxfId="74">
  <autoFilter ref="A48:D67" xr:uid="{AE116159-1DBD-4123-96D0-93E844246614}"/>
  <tableColumns count="4">
    <tableColumn id="1" xr3:uid="{66E00E51-43A2-4714-8E5C-882A222904F3}" name="Date" dataDxfId="73"/>
    <tableColumn id="2" xr3:uid="{507BCBF0-20F5-49ED-A5E1-BD673E453407}" name="Description" dataDxfId="72"/>
    <tableColumn id="3" xr3:uid="{5E9B76AA-AE15-4960-B42E-6F110B0CEFD4}" name="Amount" dataDxfId="71"/>
    <tableColumn id="4" xr3:uid="{48AB9063-7368-4860-A954-1D7A93423AE1}" name="Paid By" dataDxfId="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5990EA5-D9FB-41E4-A41E-B554EA0F7056}" name="Table43388111420234446" displayName="Table43388111420234446" ref="A74:D93" totalsRowShown="0" headerRowBorderDxfId="69" tableBorderDxfId="68" totalsRowBorderDxfId="67">
  <autoFilter ref="A74:D93" xr:uid="{D5990EA5-D9FB-41E4-A41E-B554EA0F7056}"/>
  <tableColumns count="4">
    <tableColumn id="1" xr3:uid="{C3151432-51C8-4F7A-AAB1-ECE32E6F26EA}" name="Date" dataDxfId="66"/>
    <tableColumn id="2" xr3:uid="{BA683DCC-2202-42C2-8332-25828627BDFD}" name="Description" dataDxfId="65"/>
    <tableColumn id="3" xr3:uid="{69027624-E136-4778-BF17-5F801BDAA37B}" name="Amount" dataDxfId="64"/>
    <tableColumn id="4" xr3:uid="{21FEFFF2-0B0E-4FA5-8FCB-5DC9B0DF15CF}" name="Paid By" dataDxfId="63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7FADAED-E62A-4968-BFA7-E9B63B78B836}" name="Table336691218242730" displayName="Table336691218242730" ref="A20:D34" totalsRowShown="0" headerRowBorderDxfId="62" tableBorderDxfId="61" totalsRowBorderDxfId="60">
  <autoFilter ref="A20:D34" xr:uid="{6A708C44-F2F5-4584-913D-DD0A472A5F82}"/>
  <tableColumns count="4">
    <tableColumn id="1" xr3:uid="{7CFF2E1C-A49A-460E-9D75-96C7FAF585A6}" name="Date" dataDxfId="59"/>
    <tableColumn id="2" xr3:uid="{DBBE7C3A-9DD4-4CEF-92F8-302E0A0CB7FD}" name="Description" dataDxfId="58"/>
    <tableColumn id="3" xr3:uid="{E8B6E211-200A-4365-BB3F-818CA57588D9}" name="Amount" dataDxfId="57">
      <calculatedColumnFormula>SUM(C8:C20)</calculatedColumnFormula>
    </tableColumn>
    <tableColumn id="4" xr3:uid="{D0796C86-173C-40C5-8DE1-CEB31FF35A1C}" name="Paid By" dataDxfId="5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F9903E5-EFF2-43DA-99F2-97B9FF8B2610}" name="Table4377101319252831" displayName="Table4377101319252831" ref="A7:D13" totalsRowShown="0" headerRowBorderDxfId="55" tableBorderDxfId="54" totalsRowBorderDxfId="53">
  <autoFilter ref="A7:D13" xr:uid="{80463B2B-140C-4BDB-8DD5-F6096215EFE7}"/>
  <tableColumns count="4">
    <tableColumn id="1" xr3:uid="{AD4A8155-6689-47BA-B9D9-19AC8BEA4910}" name="Date" dataDxfId="52"/>
    <tableColumn id="2" xr3:uid="{F5FB4B0C-F432-4F80-8182-353140D7D37F}" name="Description" dataDxfId="51"/>
    <tableColumn id="3" xr3:uid="{E19F247C-7FD5-4806-B92F-AEDA88AF36BE}" name="Amount" dataDxfId="50"/>
    <tableColumn id="4" xr3:uid="{18E9AFE3-5BF0-4025-A991-7624AE9448D2}" name="Paid By" dataDxfId="4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750F953-96A8-45E7-BC0D-CB7A25576E67}" name="Table43388111420262932" displayName="Table43388111420262932" ref="A43:D62" totalsRowShown="0" headerRowBorderDxfId="48" tableBorderDxfId="47" totalsRowBorderDxfId="46">
  <autoFilter ref="A43:D62" xr:uid="{AE116159-1DBD-4123-96D0-93E844246614}"/>
  <tableColumns count="4">
    <tableColumn id="1" xr3:uid="{CF873077-4146-476A-8EC0-371D9267AB44}" name="Date" dataDxfId="45"/>
    <tableColumn id="2" xr3:uid="{A958E882-171D-4ABA-A091-A28DBF5FBE93}" name="Description" dataDxfId="44"/>
    <tableColumn id="3" xr3:uid="{C9F4DDC4-E0BB-4835-824D-A7D66D93F9CC}" name="Amount" dataDxfId="43"/>
    <tableColumn id="4" xr3:uid="{66EBA8A9-FE81-4155-9FC2-9C0D99AE6AAF}" name="Paid By" dataDxfId="42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BCC3232-C297-4A96-8971-B3F8370F2AFB}" name="Table33669121824273033" displayName="Table33669121824273033" ref="A20:D34" totalsRowShown="0" headerRowBorderDxfId="41" tableBorderDxfId="40" totalsRowBorderDxfId="39">
  <autoFilter ref="A20:D34" xr:uid="{6A708C44-F2F5-4584-913D-DD0A472A5F82}"/>
  <tableColumns count="4">
    <tableColumn id="1" xr3:uid="{A1C644B6-986C-407F-8CB4-C416A8C14F82}" name="Date" dataDxfId="38"/>
    <tableColumn id="2" xr3:uid="{400A2D10-FBE5-4CE1-AB0A-A58A26237544}" name="Description" dataDxfId="37"/>
    <tableColumn id="3" xr3:uid="{AC6EF709-B830-4B83-B4F1-2927D9714BBC}" name="Amount" dataDxfId="36">
      <calculatedColumnFormula>SUM(C8:C20)</calculatedColumnFormula>
    </tableColumn>
    <tableColumn id="4" xr3:uid="{8B7FAEF0-F385-415B-B759-F761EEFF0BA3}" name="Paid By" dataDxfId="3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67871F5-2796-47B7-B07D-515363574B76}" name="Table437710131925283134" displayName="Table437710131925283134" ref="A7:D13" totalsRowShown="0" headerRowBorderDxfId="34" tableBorderDxfId="33" totalsRowBorderDxfId="32">
  <autoFilter ref="A7:D13" xr:uid="{80463B2B-140C-4BDB-8DD5-F6096215EFE7}"/>
  <tableColumns count="4">
    <tableColumn id="1" xr3:uid="{91DB0571-537C-4FD0-BE3A-2B50024A1CBA}" name="Date" dataDxfId="31"/>
    <tableColumn id="2" xr3:uid="{5CC5F524-AF53-4D18-8655-6F9F39A9D267}" name="Description" dataDxfId="30"/>
    <tableColumn id="3" xr3:uid="{B0CF384C-30E3-4B4A-A017-674EB0A7640B}" name="Amount" dataDxfId="29"/>
    <tableColumn id="4" xr3:uid="{9AF03DDF-B88E-46D1-ADE3-8474A7354835}" name="Paid By" dataDxfId="2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5D331B4-E266-46A6-967F-F5CF39362C7C}" name="Table4338811142026293239" displayName="Table4338811142026293239" ref="A43:D62" totalsRowShown="0" headerRowBorderDxfId="27" tableBorderDxfId="26" totalsRowBorderDxfId="25">
  <autoFilter ref="A43:D62" xr:uid="{AE116159-1DBD-4123-96D0-93E844246614}"/>
  <tableColumns count="4">
    <tableColumn id="1" xr3:uid="{A6C7E150-4B60-42EB-B543-32007322262E}" name="Date" dataDxfId="24"/>
    <tableColumn id="2" xr3:uid="{F87B002E-F8AD-4187-A408-9F7F9A2123EB}" name="Description" dataDxfId="23"/>
    <tableColumn id="3" xr3:uid="{20DE05FC-B51A-40B6-A7D3-603FE75D8381}" name="Amount" dataDxfId="22"/>
    <tableColumn id="4" xr3:uid="{4439C13A-66F5-4E79-A50D-49D4BEE14BCC}" name="Paid By" dataDxfId="2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A9C4A20-023F-4937-B4B3-7C609A0728CB}" name="Table3366912182427303335" displayName="Table3366912182427303335" ref="A20:D34" totalsRowShown="0" headerRowBorderDxfId="20" tableBorderDxfId="19" totalsRowBorderDxfId="18">
  <autoFilter ref="A20:D34" xr:uid="{6A708C44-F2F5-4584-913D-DD0A472A5F82}"/>
  <tableColumns count="4">
    <tableColumn id="1" xr3:uid="{529F2E29-1462-4405-A4E4-95BC8BD2B9DD}" name="Date" dataDxfId="17"/>
    <tableColumn id="2" xr3:uid="{D00F3D3B-2557-4729-863C-88D5A8A606EA}" name="Description" dataDxfId="16"/>
    <tableColumn id="3" xr3:uid="{F851E72B-222E-446B-A422-A5B940348E37}" name="Amount" dataDxfId="15">
      <calculatedColumnFormula>SUM(C8:C20)</calculatedColumnFormula>
    </tableColumn>
    <tableColumn id="4" xr3:uid="{0B0932C3-B99C-4707-8220-61C7E875C7CC}" name="Paid By" dataDxfId="1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69AAA48-6CD2-45FE-A7EF-84CB661C34F7}" name="Table43771013192528313441" displayName="Table43771013192528313441" ref="A7:D13" totalsRowShown="0" headerRowBorderDxfId="13" tableBorderDxfId="12" totalsRowBorderDxfId="11">
  <autoFilter ref="A7:D13" xr:uid="{80463B2B-140C-4BDB-8DD5-F6096215EFE7}"/>
  <tableColumns count="4">
    <tableColumn id="1" xr3:uid="{61EB2A61-8E51-4059-B1E5-2FC317F20E48}" name="Date" dataDxfId="10"/>
    <tableColumn id="2" xr3:uid="{DE405FDF-EE50-491B-880A-21EFD6C2FE08}" name="Description" dataDxfId="9"/>
    <tableColumn id="3" xr3:uid="{C8418C59-FE61-46E0-8006-F918A13F4EA0}" name="Amount" dataDxfId="8"/>
    <tableColumn id="4" xr3:uid="{9C7CFAB5-A985-4DFC-94C9-86907E530C79}" name="Paid By" dataDxfId="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C1B1115-CEFB-4148-AC76-39A07944D20E}" name="Table433881114202629323942" displayName="Table433881114202629323942" ref="A43:D62" totalsRowShown="0" headerRowBorderDxfId="6" tableBorderDxfId="5" totalsRowBorderDxfId="4">
  <autoFilter ref="A43:D62" xr:uid="{AE116159-1DBD-4123-96D0-93E844246614}"/>
  <tableColumns count="4">
    <tableColumn id="1" xr3:uid="{DBD45FE2-7CAE-4C15-A41D-972392B4203F}" name="Date" dataDxfId="3"/>
    <tableColumn id="2" xr3:uid="{204D8F22-D1BC-4D5D-B61C-25FB01452222}" name="Description" dataDxfId="2"/>
    <tableColumn id="3" xr3:uid="{E894D5F5-19A5-4E23-BD61-BB242AC061E2}" name="Amount" dataDxfId="1"/>
    <tableColumn id="4" xr3:uid="{612B1698-913A-4276-8DD7-C47589CFE53E}" name="Paid B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4" Type="http://schemas.openxmlformats.org/officeDocument/2006/relationships/table" Target="../tables/table2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4" Type="http://schemas.openxmlformats.org/officeDocument/2006/relationships/table" Target="../tables/table3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4" Type="http://schemas.openxmlformats.org/officeDocument/2006/relationships/table" Target="../tables/table3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E1B3-5D37-4E47-B257-7A61F387EB82}">
  <dimension ref="A1:H125"/>
  <sheetViews>
    <sheetView tabSelected="1" topLeftCell="A111" zoomScale="70" zoomScaleNormal="70" workbookViewId="0">
      <selection activeCell="D118" sqref="D118"/>
    </sheetView>
  </sheetViews>
  <sheetFormatPr defaultColWidth="9.109375" defaultRowHeight="23.4" x14ac:dyDescent="0.3"/>
  <cols>
    <col min="1" max="1" width="19.21875" style="1" bestFit="1" customWidth="1"/>
    <col min="2" max="2" width="28.33203125" style="4" bestFit="1" customWidth="1"/>
    <col min="3" max="3" width="62.44140625" style="4" bestFit="1" customWidth="1"/>
    <col min="4" max="4" width="35.109375" style="4" bestFit="1" customWidth="1"/>
    <col min="5" max="5" width="30.5546875" style="52" bestFit="1" customWidth="1"/>
    <col min="6" max="6" width="51.109375" style="4" bestFit="1" customWidth="1"/>
    <col min="7" max="7" width="11.88671875" style="4" bestFit="1" customWidth="1"/>
    <col min="8" max="8" width="20" style="1" customWidth="1"/>
    <col min="9" max="16384" width="9.109375" style="1"/>
  </cols>
  <sheetData>
    <row r="1" spans="1:8" x14ac:dyDescent="0.3">
      <c r="B1" s="168" t="s">
        <v>0</v>
      </c>
      <c r="C1" s="164"/>
      <c r="D1" s="164"/>
      <c r="E1" s="164"/>
      <c r="F1" s="164"/>
    </row>
    <row r="3" spans="1:8" x14ac:dyDescent="0.3">
      <c r="A3" s="74" t="s">
        <v>1</v>
      </c>
      <c r="B3" s="67" t="s">
        <v>2</v>
      </c>
      <c r="C3" s="5" t="s">
        <v>3</v>
      </c>
      <c r="D3" s="5" t="s">
        <v>174</v>
      </c>
      <c r="E3" s="68" t="s">
        <v>5</v>
      </c>
      <c r="F3" s="69" t="s">
        <v>6</v>
      </c>
      <c r="H3" s="4"/>
    </row>
    <row r="4" spans="1:8" ht="24" thickBot="1" x14ac:dyDescent="0.35">
      <c r="A4" s="57"/>
      <c r="B4" s="140"/>
      <c r="C4" s="35" t="s">
        <v>7</v>
      </c>
      <c r="D4" s="46"/>
      <c r="E4" s="46"/>
      <c r="F4" s="126"/>
    </row>
    <row r="5" spans="1:8" ht="24.6" thickTop="1" thickBot="1" x14ac:dyDescent="0.35">
      <c r="A5" s="165" t="s">
        <v>8</v>
      </c>
      <c r="B5" s="143">
        <v>45943</v>
      </c>
      <c r="C5" s="36" t="s">
        <v>176</v>
      </c>
      <c r="D5" s="37">
        <f>'Days each month'!$C$24*'Days each month'!C5</f>
        <v>626.54018264840192</v>
      </c>
      <c r="E5" s="37"/>
      <c r="F5" s="127"/>
    </row>
    <row r="6" spans="1:8" ht="24.6" thickTop="1" thickBot="1" x14ac:dyDescent="0.35">
      <c r="A6" s="163"/>
      <c r="B6" s="148"/>
      <c r="C6" s="10"/>
      <c r="D6" s="47"/>
      <c r="E6" s="47">
        <f>'October 2025'!C85</f>
        <v>221.90333333333331</v>
      </c>
      <c r="F6" s="69" t="s">
        <v>143</v>
      </c>
    </row>
    <row r="7" spans="1:8" ht="24.6" thickTop="1" thickBot="1" x14ac:dyDescent="0.35">
      <c r="A7" s="163"/>
      <c r="B7" s="148"/>
      <c r="C7" s="10"/>
      <c r="D7" s="53"/>
      <c r="E7" s="47">
        <f>'October 2025'!C15*(-1)</f>
        <v>0</v>
      </c>
      <c r="F7" s="69" t="s">
        <v>144</v>
      </c>
    </row>
    <row r="8" spans="1:8" ht="24.6" thickTop="1" thickBot="1" x14ac:dyDescent="0.35">
      <c r="A8" s="163"/>
      <c r="B8" s="143">
        <v>45944</v>
      </c>
      <c r="C8" s="10" t="s">
        <v>141</v>
      </c>
      <c r="D8" s="53">
        <v>-6434</v>
      </c>
      <c r="E8" s="47">
        <v>-222.05</v>
      </c>
      <c r="F8" s="69" t="s">
        <v>142</v>
      </c>
    </row>
    <row r="9" spans="1:8" ht="24.6" thickTop="1" thickBot="1" x14ac:dyDescent="0.35">
      <c r="A9" s="163"/>
      <c r="B9" s="143">
        <v>45956</v>
      </c>
      <c r="C9" s="10" t="s">
        <v>141</v>
      </c>
      <c r="D9" s="53">
        <v>-1469.5</v>
      </c>
      <c r="E9" s="47"/>
      <c r="F9" s="69"/>
    </row>
    <row r="10" spans="1:8" ht="24.6" thickTop="1" thickBot="1" x14ac:dyDescent="0.35">
      <c r="A10" s="163"/>
      <c r="B10" s="148"/>
      <c r="C10" s="10"/>
      <c r="D10" s="60"/>
      <c r="E10" s="137"/>
      <c r="G10" s="138">
        <f>SUM(E6:E9)</f>
        <v>-0.1466666666667038</v>
      </c>
    </row>
    <row r="11" spans="1:8" ht="24.6" thickTop="1" thickBot="1" x14ac:dyDescent="0.35">
      <c r="A11" s="163"/>
      <c r="B11" s="148"/>
      <c r="C11" s="63"/>
      <c r="D11" s="58"/>
      <c r="E11" s="58"/>
      <c r="F11" s="69"/>
    </row>
    <row r="12" spans="1:8" ht="24.6" thickTop="1" thickBot="1" x14ac:dyDescent="0.35">
      <c r="A12" s="163"/>
      <c r="B12" s="144"/>
      <c r="C12" s="64"/>
      <c r="D12" s="62"/>
      <c r="E12" s="62"/>
      <c r="F12" s="128"/>
    </row>
    <row r="13" spans="1:8" ht="24.6" thickTop="1" thickBot="1" x14ac:dyDescent="0.35">
      <c r="A13" s="163" t="s">
        <v>9</v>
      </c>
      <c r="B13" s="141">
        <v>45962</v>
      </c>
      <c r="C13" s="42" t="s">
        <v>177</v>
      </c>
      <c r="D13" s="61">
        <f>'Days each month'!$C$24*'Days each month'!C6</f>
        <v>989.27397260273983</v>
      </c>
      <c r="E13" s="61"/>
      <c r="F13" s="129"/>
    </row>
    <row r="14" spans="1:8" ht="24.6" thickTop="1" thickBot="1" x14ac:dyDescent="0.35">
      <c r="A14" s="163"/>
      <c r="B14" s="147"/>
      <c r="C14" s="33" t="s">
        <v>141</v>
      </c>
      <c r="D14" s="49">
        <v>-1200</v>
      </c>
      <c r="E14" s="49"/>
      <c r="F14" s="130"/>
    </row>
    <row r="15" spans="1:8" ht="24.6" thickTop="1" thickBot="1" x14ac:dyDescent="0.35">
      <c r="A15" s="163"/>
      <c r="B15" s="143"/>
      <c r="C15" s="33"/>
      <c r="D15" s="49"/>
      <c r="E15" s="49">
        <f>'November 2025'!C78</f>
        <v>74.11333333333333</v>
      </c>
      <c r="F15" s="131" t="s">
        <v>145</v>
      </c>
    </row>
    <row r="16" spans="1:8" ht="24.6" thickTop="1" thickBot="1" x14ac:dyDescent="0.35">
      <c r="A16" s="163"/>
      <c r="B16" s="143"/>
      <c r="C16" s="33"/>
      <c r="D16" s="49"/>
      <c r="E16" s="49">
        <f>'November 2025'!C13*(-1)</f>
        <v>-54</v>
      </c>
      <c r="F16" s="69" t="s">
        <v>146</v>
      </c>
    </row>
    <row r="17" spans="1:7" ht="24.6" thickTop="1" thickBot="1" x14ac:dyDescent="0.35">
      <c r="A17" s="163"/>
      <c r="B17" s="143">
        <v>45988</v>
      </c>
      <c r="C17" s="54"/>
      <c r="D17" s="55"/>
      <c r="E17" s="49">
        <v>-19.97</v>
      </c>
      <c r="F17" s="69" t="s">
        <v>116</v>
      </c>
    </row>
    <row r="18" spans="1:7" ht="24.6" thickTop="1" thickBot="1" x14ac:dyDescent="0.35">
      <c r="A18" s="163"/>
      <c r="B18" s="145"/>
      <c r="C18" s="54"/>
      <c r="D18" s="55"/>
      <c r="E18" s="49"/>
      <c r="G18" s="138">
        <f>SUM(E15:E17)</f>
        <v>0.14333333333333087</v>
      </c>
    </row>
    <row r="19" spans="1:7" ht="24.6" thickTop="1" thickBot="1" x14ac:dyDescent="0.35">
      <c r="A19" s="163"/>
      <c r="B19" s="145"/>
      <c r="C19" s="65"/>
      <c r="D19" s="55"/>
      <c r="E19" s="55"/>
      <c r="F19" s="132"/>
    </row>
    <row r="20" spans="1:7" ht="24.6" thickTop="1" thickBot="1" x14ac:dyDescent="0.35">
      <c r="A20" s="163"/>
      <c r="B20" s="144"/>
      <c r="C20" s="66"/>
      <c r="D20" s="50"/>
      <c r="E20" s="50"/>
      <c r="F20" s="128"/>
    </row>
    <row r="21" spans="1:7" ht="24.6" thickTop="1" thickBot="1" x14ac:dyDescent="0.35">
      <c r="A21" s="163" t="s">
        <v>10</v>
      </c>
      <c r="B21" s="141">
        <v>45992</v>
      </c>
      <c r="C21" s="36" t="s">
        <v>178</v>
      </c>
      <c r="D21" s="37">
        <f>'Days each month'!$C$24*'Days each month'!C7</f>
        <v>1022.2497716894978</v>
      </c>
      <c r="E21" s="37"/>
      <c r="F21" s="69"/>
    </row>
    <row r="22" spans="1:7" ht="24.6" thickTop="1" thickBot="1" x14ac:dyDescent="0.35">
      <c r="A22" s="163"/>
      <c r="B22" s="143">
        <v>46016</v>
      </c>
      <c r="C22" s="10" t="s">
        <v>141</v>
      </c>
      <c r="D22" s="47">
        <v>-1200</v>
      </c>
      <c r="E22" s="96"/>
      <c r="F22" s="69"/>
    </row>
    <row r="23" spans="1:7" ht="24.6" thickTop="1" thickBot="1" x14ac:dyDescent="0.35">
      <c r="A23" s="163"/>
      <c r="B23" s="143"/>
      <c r="C23" s="10"/>
      <c r="D23" s="47"/>
      <c r="E23" s="47">
        <f>'December 2025'!C79</f>
        <v>38.603333333333332</v>
      </c>
      <c r="F23" s="131" t="s">
        <v>147</v>
      </c>
    </row>
    <row r="24" spans="1:7" ht="24.6" thickTop="1" thickBot="1" x14ac:dyDescent="0.35">
      <c r="A24" s="163"/>
      <c r="B24" s="143"/>
      <c r="C24" s="10"/>
      <c r="D24" s="47"/>
      <c r="E24" s="47">
        <f>'December 2025'!C13*(-1)</f>
        <v>0</v>
      </c>
      <c r="F24" s="69" t="s">
        <v>148</v>
      </c>
    </row>
    <row r="25" spans="1:7" ht="24.6" thickTop="1" thickBot="1" x14ac:dyDescent="0.35">
      <c r="A25" s="163"/>
      <c r="B25" s="145">
        <v>46016</v>
      </c>
      <c r="C25" s="22"/>
      <c r="D25" s="53"/>
      <c r="E25" s="47">
        <v>-38.6</v>
      </c>
      <c r="F25" s="69" t="s">
        <v>116</v>
      </c>
    </row>
    <row r="26" spans="1:7" ht="24.6" thickTop="1" thickBot="1" x14ac:dyDescent="0.35">
      <c r="A26" s="163"/>
      <c r="B26" s="145"/>
      <c r="C26" s="22"/>
      <c r="D26" s="53"/>
      <c r="E26" s="47"/>
      <c r="G26" s="138">
        <f>SUM(E23:E25)</f>
        <v>3.3333333333303017E-3</v>
      </c>
    </row>
    <row r="27" spans="1:7" ht="24.6" thickTop="1" thickBot="1" x14ac:dyDescent="0.35">
      <c r="A27" s="163"/>
      <c r="B27" s="145"/>
      <c r="C27" s="63"/>
      <c r="D27" s="53"/>
      <c r="E27" s="53"/>
      <c r="F27" s="132"/>
    </row>
    <row r="28" spans="1:7" ht="24.6" thickTop="1" thickBot="1" x14ac:dyDescent="0.35">
      <c r="A28" s="163"/>
      <c r="B28" s="144"/>
      <c r="C28" s="64"/>
      <c r="D28" s="48"/>
      <c r="E28" s="48"/>
      <c r="F28" s="128"/>
    </row>
    <row r="29" spans="1:7" ht="24.6" thickTop="1" thickBot="1" x14ac:dyDescent="0.35">
      <c r="A29" s="163" t="s">
        <v>11</v>
      </c>
      <c r="B29" s="141">
        <v>46023</v>
      </c>
      <c r="C29" s="42" t="s">
        <v>178</v>
      </c>
      <c r="D29" s="51">
        <f>'Days each month'!$C$24*'Days each month'!C8</f>
        <v>1022.2497716894978</v>
      </c>
      <c r="E29" s="51"/>
      <c r="F29" s="133"/>
    </row>
    <row r="30" spans="1:7" ht="24.6" thickTop="1" thickBot="1" x14ac:dyDescent="0.35">
      <c r="A30" s="163"/>
      <c r="B30" s="143">
        <v>46048</v>
      </c>
      <c r="C30" s="33" t="s">
        <v>141</v>
      </c>
      <c r="D30" s="49">
        <v>-1000</v>
      </c>
      <c r="E30" s="93"/>
      <c r="F30" s="127"/>
    </row>
    <row r="31" spans="1:7" ht="24.6" thickTop="1" thickBot="1" x14ac:dyDescent="0.35">
      <c r="A31" s="163"/>
      <c r="B31" s="143"/>
      <c r="C31" s="33"/>
      <c r="D31" s="49"/>
      <c r="E31" s="49">
        <f>'January 2026'!C79</f>
        <v>65.983333333333334</v>
      </c>
      <c r="F31" s="131" t="s">
        <v>149</v>
      </c>
    </row>
    <row r="32" spans="1:7" ht="24.6" thickTop="1" thickBot="1" x14ac:dyDescent="0.35">
      <c r="A32" s="163"/>
      <c r="B32" s="143"/>
      <c r="C32" s="33"/>
      <c r="D32" s="49"/>
      <c r="E32" s="49">
        <f>'January 2026'!C13*(-1)</f>
        <v>-48.980000000000004</v>
      </c>
      <c r="F32" s="69" t="s">
        <v>150</v>
      </c>
    </row>
    <row r="33" spans="1:7" ht="24.6" thickTop="1" thickBot="1" x14ac:dyDescent="0.35">
      <c r="A33" s="163"/>
      <c r="B33" s="145">
        <v>46048</v>
      </c>
      <c r="C33" s="54"/>
      <c r="D33" s="55"/>
      <c r="E33" s="49">
        <v>-7</v>
      </c>
      <c r="F33" s="69" t="s">
        <v>116</v>
      </c>
    </row>
    <row r="34" spans="1:7" ht="24.6" thickTop="1" thickBot="1" x14ac:dyDescent="0.35">
      <c r="A34" s="163"/>
      <c r="B34" s="145"/>
      <c r="C34" s="54"/>
      <c r="D34" s="55"/>
      <c r="E34" s="49"/>
      <c r="G34" s="138">
        <f>SUM(E31:E33)</f>
        <v>10.00333333333333</v>
      </c>
    </row>
    <row r="35" spans="1:7" ht="24.6" thickTop="1" thickBot="1" x14ac:dyDescent="0.35">
      <c r="A35" s="163"/>
      <c r="B35" s="145"/>
      <c r="C35" s="65"/>
      <c r="D35" s="55"/>
      <c r="E35" s="55"/>
      <c r="F35" s="132"/>
    </row>
    <row r="36" spans="1:7" ht="24.6" thickTop="1" thickBot="1" x14ac:dyDescent="0.35">
      <c r="A36" s="163"/>
      <c r="B36" s="144"/>
      <c r="C36" s="66"/>
      <c r="D36" s="50"/>
      <c r="E36" s="50"/>
      <c r="F36" s="128"/>
    </row>
    <row r="37" spans="1:7" ht="24.6" thickTop="1" thickBot="1" x14ac:dyDescent="0.35">
      <c r="A37" s="163" t="s">
        <v>12</v>
      </c>
      <c r="B37" s="141">
        <v>46054</v>
      </c>
      <c r="C37" s="36" t="s">
        <v>179</v>
      </c>
      <c r="D37" s="37">
        <f>'Days each month'!$C$24*'Days each month'!C9</f>
        <v>923.32237442922383</v>
      </c>
      <c r="E37" s="37"/>
      <c r="F37" s="133"/>
    </row>
    <row r="38" spans="1:7" ht="24.6" thickTop="1" thickBot="1" x14ac:dyDescent="0.35">
      <c r="A38" s="163"/>
      <c r="B38" s="147"/>
      <c r="C38" s="10" t="s">
        <v>141</v>
      </c>
      <c r="D38" s="47">
        <v>-732.67</v>
      </c>
      <c r="E38" s="96"/>
      <c r="F38" s="127"/>
    </row>
    <row r="39" spans="1:7" ht="24.6" thickTop="1" thickBot="1" x14ac:dyDescent="0.35">
      <c r="A39" s="163"/>
      <c r="B39" s="143"/>
      <c r="C39" s="10"/>
      <c r="D39" s="47"/>
      <c r="E39" s="47">
        <f>'February 2026'!C79</f>
        <v>139.73333333333335</v>
      </c>
      <c r="F39" s="69" t="s">
        <v>151</v>
      </c>
    </row>
    <row r="40" spans="1:7" ht="24.6" thickTop="1" thickBot="1" x14ac:dyDescent="0.35">
      <c r="A40" s="163"/>
      <c r="B40" s="143"/>
      <c r="C40" s="10"/>
      <c r="D40" s="47"/>
      <c r="E40" s="47">
        <f>'February 2026'!C13*(-1)</f>
        <v>-87.5</v>
      </c>
      <c r="F40" s="69" t="s">
        <v>152</v>
      </c>
    </row>
    <row r="41" spans="1:7" ht="24.6" thickTop="1" thickBot="1" x14ac:dyDescent="0.35">
      <c r="A41" s="163"/>
      <c r="B41" s="145">
        <v>46078</v>
      </c>
      <c r="C41" s="22"/>
      <c r="D41" s="53"/>
      <c r="E41" s="47">
        <v>-69.45</v>
      </c>
      <c r="F41" s="69" t="s">
        <v>116</v>
      </c>
    </row>
    <row r="42" spans="1:7" ht="24.6" thickTop="1" thickBot="1" x14ac:dyDescent="0.35">
      <c r="A42" s="163"/>
      <c r="B42" s="145"/>
      <c r="C42" s="22"/>
      <c r="D42" s="53"/>
      <c r="E42" s="47">
        <v>20</v>
      </c>
      <c r="F42" s="7" t="s">
        <v>153</v>
      </c>
    </row>
    <row r="43" spans="1:7" ht="24.6" thickTop="1" thickBot="1" x14ac:dyDescent="0.35">
      <c r="A43" s="163"/>
      <c r="B43" s="145"/>
      <c r="C43" s="22"/>
      <c r="D43" s="53"/>
      <c r="E43" s="47"/>
      <c r="G43" s="138">
        <f>SUM(E39:E42)</f>
        <v>2.7833333333333456</v>
      </c>
    </row>
    <row r="44" spans="1:7" ht="24.6" thickTop="1" thickBot="1" x14ac:dyDescent="0.35">
      <c r="A44" s="163"/>
      <c r="B44" s="145"/>
      <c r="C44" s="63"/>
      <c r="D44" s="53"/>
      <c r="E44" s="53"/>
      <c r="F44" s="132"/>
    </row>
    <row r="45" spans="1:7" ht="24.6" thickTop="1" thickBot="1" x14ac:dyDescent="0.35">
      <c r="A45" s="163"/>
      <c r="B45" s="144"/>
      <c r="C45" s="64"/>
      <c r="D45" s="48"/>
      <c r="E45" s="48"/>
      <c r="F45" s="128"/>
    </row>
    <row r="46" spans="1:7" ht="24.6" thickTop="1" thickBot="1" x14ac:dyDescent="0.35">
      <c r="A46" s="163" t="s">
        <v>13</v>
      </c>
      <c r="B46" s="141">
        <v>46082</v>
      </c>
      <c r="C46" s="42" t="s">
        <v>178</v>
      </c>
      <c r="D46" s="51">
        <f>'Days each month'!$C$24*'Days each month'!C10</f>
        <v>1022.2497716894978</v>
      </c>
      <c r="E46" s="51"/>
      <c r="F46" s="133"/>
    </row>
    <row r="47" spans="1:7" ht="24.6" thickTop="1" thickBot="1" x14ac:dyDescent="0.35">
      <c r="A47" s="163"/>
      <c r="B47" s="143"/>
      <c r="C47" s="33"/>
      <c r="D47" s="49"/>
      <c r="E47" s="49">
        <f>'March 2026'!C83</f>
        <v>205.29666666666665</v>
      </c>
      <c r="F47" s="69" t="s">
        <v>154</v>
      </c>
    </row>
    <row r="48" spans="1:7" ht="24.6" thickTop="1" thickBot="1" x14ac:dyDescent="0.35">
      <c r="A48" s="163"/>
      <c r="B48" s="143"/>
      <c r="C48" s="33"/>
      <c r="D48" s="49"/>
      <c r="E48" s="49">
        <f>'March 2026'!C17*(-1)</f>
        <v>-220.14999999999998</v>
      </c>
      <c r="F48" s="69" t="s">
        <v>155</v>
      </c>
    </row>
    <row r="49" spans="1:7" ht="24.6" thickTop="1" thickBot="1" x14ac:dyDescent="0.35">
      <c r="A49" s="163"/>
      <c r="B49" s="145"/>
      <c r="C49" s="54"/>
      <c r="D49" s="55"/>
      <c r="E49" s="49">
        <v>-14</v>
      </c>
      <c r="F49" s="97" t="s">
        <v>156</v>
      </c>
    </row>
    <row r="50" spans="1:7" ht="24.6" thickTop="1" thickBot="1" x14ac:dyDescent="0.35">
      <c r="A50" s="163"/>
      <c r="B50" s="145"/>
      <c r="C50" s="54"/>
      <c r="D50" s="55"/>
      <c r="E50" s="49"/>
      <c r="F50" s="69"/>
    </row>
    <row r="51" spans="1:7" ht="24.6" thickTop="1" thickBot="1" x14ac:dyDescent="0.35">
      <c r="A51" s="163"/>
      <c r="B51" s="145"/>
      <c r="C51" s="54"/>
      <c r="D51" s="55"/>
      <c r="E51" s="49"/>
      <c r="G51" s="138">
        <f>SUM(E47:E50)</f>
        <v>-28.853333333333325</v>
      </c>
    </row>
    <row r="52" spans="1:7" ht="24.6" thickTop="1" thickBot="1" x14ac:dyDescent="0.35">
      <c r="A52" s="163"/>
      <c r="B52" s="145"/>
      <c r="C52" s="65"/>
      <c r="D52" s="55"/>
      <c r="E52" s="55"/>
      <c r="F52" s="132"/>
    </row>
    <row r="53" spans="1:7" ht="24.6" thickTop="1" thickBot="1" x14ac:dyDescent="0.35">
      <c r="A53" s="163"/>
      <c r="B53" s="144"/>
      <c r="C53" s="66"/>
      <c r="D53" s="50"/>
      <c r="E53" s="50"/>
      <c r="F53" s="128"/>
    </row>
    <row r="54" spans="1:7" ht="24.6" thickTop="1" thickBot="1" x14ac:dyDescent="0.35">
      <c r="A54" s="163" t="s">
        <v>14</v>
      </c>
      <c r="B54" s="141">
        <v>46113</v>
      </c>
      <c r="C54" s="36" t="s">
        <v>177</v>
      </c>
      <c r="D54" s="37">
        <f>'Days each month'!$C$24*'Days each month'!C11</f>
        <v>989.27397260273983</v>
      </c>
      <c r="E54" s="37"/>
      <c r="F54" s="133"/>
    </row>
    <row r="55" spans="1:7" ht="24.6" thickTop="1" thickBot="1" x14ac:dyDescent="0.35">
      <c r="A55" s="163"/>
      <c r="B55" s="143"/>
      <c r="C55" s="10"/>
      <c r="D55" s="47"/>
      <c r="E55" s="47">
        <f>'April 2026'!C83</f>
        <v>67.070000000000007</v>
      </c>
      <c r="F55" s="69" t="s">
        <v>157</v>
      </c>
    </row>
    <row r="56" spans="1:7" ht="24.6" thickTop="1" thickBot="1" x14ac:dyDescent="0.35">
      <c r="A56" s="163"/>
      <c r="B56" s="143"/>
      <c r="C56" s="10"/>
      <c r="D56" s="47"/>
      <c r="E56" s="47">
        <f>'April 2026'!C17*(-1)</f>
        <v>-30</v>
      </c>
      <c r="F56" s="69" t="s">
        <v>158</v>
      </c>
    </row>
    <row r="57" spans="1:7" ht="24.6" thickTop="1" thickBot="1" x14ac:dyDescent="0.35">
      <c r="A57" s="163"/>
      <c r="B57" s="145"/>
      <c r="C57" s="22"/>
      <c r="D57" s="53"/>
      <c r="E57" s="47"/>
      <c r="F57" s="69"/>
    </row>
    <row r="58" spans="1:7" ht="24.6" thickTop="1" thickBot="1" x14ac:dyDescent="0.35">
      <c r="A58" s="163"/>
      <c r="B58" s="145"/>
      <c r="C58" s="22"/>
      <c r="D58" s="53"/>
      <c r="E58" s="47"/>
      <c r="F58" s="69"/>
    </row>
    <row r="59" spans="1:7" ht="24.6" thickTop="1" thickBot="1" x14ac:dyDescent="0.35">
      <c r="A59" s="163"/>
      <c r="B59" s="145"/>
      <c r="C59" s="22"/>
      <c r="D59" s="53"/>
      <c r="E59" s="47"/>
      <c r="G59" s="138">
        <f>SUM(E55:E58)</f>
        <v>37.070000000000007</v>
      </c>
    </row>
    <row r="60" spans="1:7" ht="24.6" thickTop="1" thickBot="1" x14ac:dyDescent="0.35">
      <c r="A60" s="163"/>
      <c r="B60" s="145"/>
      <c r="C60" s="63"/>
      <c r="D60" s="53"/>
      <c r="E60" s="53"/>
      <c r="F60" s="132"/>
    </row>
    <row r="61" spans="1:7" ht="24.6" thickTop="1" thickBot="1" x14ac:dyDescent="0.35">
      <c r="A61" s="163"/>
      <c r="B61" s="144"/>
      <c r="C61" s="64"/>
      <c r="D61" s="48"/>
      <c r="E61" s="48"/>
      <c r="F61" s="128"/>
    </row>
    <row r="62" spans="1:7" ht="24.6" thickTop="1" thickBot="1" x14ac:dyDescent="0.35">
      <c r="A62" s="163" t="s">
        <v>15</v>
      </c>
      <c r="B62" s="146">
        <v>46143</v>
      </c>
      <c r="C62" s="153" t="s">
        <v>180</v>
      </c>
      <c r="D62" s="95">
        <f>'Days each month'!$C$24*1</f>
        <v>32.975799086757995</v>
      </c>
      <c r="E62" s="95"/>
      <c r="F62" s="134"/>
    </row>
    <row r="63" spans="1:7" ht="24.6" thickTop="1" thickBot="1" x14ac:dyDescent="0.35">
      <c r="A63" s="163"/>
      <c r="B63" s="147">
        <v>46144</v>
      </c>
      <c r="C63" s="33" t="s">
        <v>181</v>
      </c>
      <c r="D63" s="93">
        <f>'Days each month'!$C$25*30</f>
        <v>741.95547945205487</v>
      </c>
      <c r="E63" s="93"/>
      <c r="F63" s="127"/>
    </row>
    <row r="64" spans="1:7" ht="24.6" thickTop="1" thickBot="1" x14ac:dyDescent="0.35">
      <c r="A64" s="163"/>
      <c r="B64" s="143"/>
      <c r="C64" s="33"/>
      <c r="D64" s="49"/>
      <c r="E64" s="49">
        <f>'May 2026'!C99</f>
        <v>96.914999999999992</v>
      </c>
      <c r="F64" s="69" t="s">
        <v>159</v>
      </c>
    </row>
    <row r="65" spans="1:7" ht="24.6" thickTop="1" thickBot="1" x14ac:dyDescent="0.35">
      <c r="A65" s="163"/>
      <c r="B65" s="143"/>
      <c r="C65" s="33"/>
      <c r="D65" s="49"/>
      <c r="E65" s="49">
        <f>'May 2026'!C17*(-1)</f>
        <v>-67.900000000000006</v>
      </c>
      <c r="F65" s="69" t="s">
        <v>160</v>
      </c>
    </row>
    <row r="66" spans="1:7" ht="24.6" thickTop="1" thickBot="1" x14ac:dyDescent="0.35">
      <c r="A66" s="163"/>
      <c r="B66" s="145"/>
      <c r="C66" s="54"/>
      <c r="D66" s="55"/>
      <c r="E66" s="49"/>
      <c r="F66" s="69"/>
    </row>
    <row r="67" spans="1:7" ht="24.6" thickTop="1" thickBot="1" x14ac:dyDescent="0.35">
      <c r="A67" s="163"/>
      <c r="B67" s="145"/>
      <c r="C67" s="54"/>
      <c r="D67" s="55"/>
      <c r="E67" s="49"/>
      <c r="F67" s="69"/>
    </row>
    <row r="68" spans="1:7" ht="24.6" thickTop="1" thickBot="1" x14ac:dyDescent="0.35">
      <c r="A68" s="163"/>
      <c r="B68" s="145"/>
      <c r="C68" s="54"/>
      <c r="D68" s="55"/>
      <c r="E68" s="49"/>
      <c r="F68" s="69"/>
    </row>
    <row r="69" spans="1:7" ht="24.6" thickTop="1" thickBot="1" x14ac:dyDescent="0.35">
      <c r="A69" s="163"/>
      <c r="B69" s="145"/>
      <c r="C69" s="54"/>
      <c r="D69" s="55"/>
      <c r="E69" s="49"/>
      <c r="G69" s="138">
        <f>SUM(E64:E68)</f>
        <v>29.014999999999986</v>
      </c>
    </row>
    <row r="70" spans="1:7" ht="24.6" thickTop="1" thickBot="1" x14ac:dyDescent="0.35">
      <c r="A70" s="163"/>
      <c r="B70" s="145"/>
      <c r="C70" s="65"/>
      <c r="D70" s="55"/>
      <c r="E70" s="55"/>
      <c r="F70" s="132"/>
    </row>
    <row r="71" spans="1:7" ht="24.6" thickTop="1" thickBot="1" x14ac:dyDescent="0.35">
      <c r="A71" s="163"/>
      <c r="B71" s="144"/>
      <c r="C71" s="66"/>
      <c r="D71" s="50"/>
      <c r="E71" s="50"/>
      <c r="F71" s="128"/>
    </row>
    <row r="72" spans="1:7" ht="24.6" thickTop="1" thickBot="1" x14ac:dyDescent="0.35">
      <c r="A72" s="163" t="s">
        <v>16</v>
      </c>
      <c r="B72" s="141">
        <v>46174</v>
      </c>
      <c r="C72" s="36" t="s">
        <v>181</v>
      </c>
      <c r="D72" s="37">
        <f>'Days each month'!$C$25*'Days each month'!C13</f>
        <v>741.95547945205487</v>
      </c>
      <c r="E72" s="37"/>
      <c r="F72" s="133"/>
    </row>
    <row r="73" spans="1:7" ht="24.6" thickTop="1" thickBot="1" x14ac:dyDescent="0.35">
      <c r="A73" s="163"/>
      <c r="B73" s="143"/>
      <c r="C73" s="10"/>
      <c r="D73" s="47"/>
      <c r="E73" s="47">
        <f>'June 2026'!C98</f>
        <v>123.41500000000001</v>
      </c>
      <c r="F73" s="69" t="s">
        <v>161</v>
      </c>
    </row>
    <row r="74" spans="1:7" ht="24.6" thickTop="1" thickBot="1" x14ac:dyDescent="0.35">
      <c r="A74" s="163"/>
      <c r="B74" s="143"/>
      <c r="C74" s="10"/>
      <c r="D74" s="47"/>
      <c r="E74" s="47">
        <f>'June 2026'!C17*(-1)</f>
        <v>-23.98</v>
      </c>
      <c r="F74" s="69" t="s">
        <v>162</v>
      </c>
    </row>
    <row r="75" spans="1:7" ht="24.6" thickTop="1" thickBot="1" x14ac:dyDescent="0.35">
      <c r="A75" s="163"/>
      <c r="B75" s="145"/>
      <c r="C75" s="22"/>
      <c r="D75" s="53"/>
      <c r="E75" s="47"/>
      <c r="F75" s="69"/>
    </row>
    <row r="76" spans="1:7" ht="24.6" thickTop="1" thickBot="1" x14ac:dyDescent="0.35">
      <c r="A76" s="163"/>
      <c r="B76" s="145"/>
      <c r="C76" s="22"/>
      <c r="D76" s="53"/>
      <c r="E76" s="47"/>
      <c r="F76" s="69"/>
    </row>
    <row r="77" spans="1:7" ht="24.6" thickTop="1" thickBot="1" x14ac:dyDescent="0.35">
      <c r="A77" s="163"/>
      <c r="B77" s="145"/>
      <c r="C77" s="22"/>
      <c r="D77" s="53"/>
      <c r="E77" s="47"/>
      <c r="F77" s="69"/>
    </row>
    <row r="78" spans="1:7" ht="24.6" thickTop="1" thickBot="1" x14ac:dyDescent="0.35">
      <c r="A78" s="163"/>
      <c r="B78" s="145"/>
      <c r="C78" s="22"/>
      <c r="D78" s="53"/>
      <c r="E78" s="47"/>
      <c r="G78" s="138">
        <f>SUM(E73:E77)</f>
        <v>99.435000000000002</v>
      </c>
    </row>
    <row r="79" spans="1:7" ht="24.6" thickTop="1" thickBot="1" x14ac:dyDescent="0.35">
      <c r="A79" s="163"/>
      <c r="B79" s="145"/>
      <c r="C79" s="63"/>
      <c r="D79" s="53"/>
      <c r="E79" s="53"/>
      <c r="F79" s="132"/>
    </row>
    <row r="80" spans="1:7" ht="24.6" thickTop="1" thickBot="1" x14ac:dyDescent="0.35">
      <c r="A80" s="163"/>
      <c r="B80" s="144"/>
      <c r="C80" s="64"/>
      <c r="D80" s="48"/>
      <c r="E80" s="48"/>
      <c r="F80" s="128"/>
    </row>
    <row r="81" spans="1:7" ht="24.6" thickTop="1" thickBot="1" x14ac:dyDescent="0.35">
      <c r="A81" s="163" t="s">
        <v>17</v>
      </c>
      <c r="B81" s="141">
        <v>46204</v>
      </c>
      <c r="C81" s="42" t="s">
        <v>186</v>
      </c>
      <c r="D81" s="51">
        <f>'Days each month'!$C$25*19</f>
        <v>469.90513698630139</v>
      </c>
      <c r="E81" s="51"/>
      <c r="F81" s="133"/>
    </row>
    <row r="82" spans="1:7" ht="24.6" thickTop="1" thickBot="1" x14ac:dyDescent="0.35">
      <c r="A82" s="163"/>
      <c r="B82" s="147"/>
      <c r="C82" s="114" t="s">
        <v>190</v>
      </c>
      <c r="D82" s="49">
        <f>'Days each month'!$C$24*12</f>
        <v>395.70958904109591</v>
      </c>
      <c r="E82" s="93"/>
      <c r="F82" s="127"/>
    </row>
    <row r="83" spans="1:7" ht="24.6" thickTop="1" thickBot="1" x14ac:dyDescent="0.35">
      <c r="A83" s="163"/>
      <c r="B83" s="143"/>
      <c r="C83" s="114"/>
      <c r="D83" s="49"/>
      <c r="E83" s="49">
        <f>'July 2026'!C99</f>
        <v>114.015</v>
      </c>
      <c r="F83" s="69" t="s">
        <v>163</v>
      </c>
    </row>
    <row r="84" spans="1:7" ht="24.6" thickTop="1" thickBot="1" x14ac:dyDescent="0.35">
      <c r="A84" s="163"/>
      <c r="B84" s="143"/>
      <c r="C84" s="33"/>
      <c r="D84" s="49"/>
      <c r="E84" s="49">
        <f>'July 2026'!C17*(-1)</f>
        <v>0</v>
      </c>
      <c r="F84" s="69" t="s">
        <v>164</v>
      </c>
    </row>
    <row r="85" spans="1:7" ht="24.6" thickTop="1" thickBot="1" x14ac:dyDescent="0.35">
      <c r="A85" s="163"/>
      <c r="B85" s="145"/>
      <c r="C85" s="54"/>
      <c r="D85" s="55"/>
      <c r="E85" s="49"/>
      <c r="F85" s="69"/>
    </row>
    <row r="86" spans="1:7" ht="24.6" thickTop="1" thickBot="1" x14ac:dyDescent="0.35">
      <c r="A86" s="163"/>
      <c r="B86" s="145"/>
      <c r="C86" s="54"/>
      <c r="D86" s="55"/>
      <c r="E86" s="49"/>
      <c r="F86" s="69"/>
    </row>
    <row r="87" spans="1:7" ht="24.6" thickTop="1" thickBot="1" x14ac:dyDescent="0.35">
      <c r="A87" s="163"/>
      <c r="B87" s="145"/>
      <c r="C87" s="54"/>
      <c r="D87" s="55"/>
      <c r="E87" s="49"/>
      <c r="G87" s="138">
        <f>SUM(E83:E86)</f>
        <v>114.015</v>
      </c>
    </row>
    <row r="88" spans="1:7" ht="24.6" thickTop="1" thickBot="1" x14ac:dyDescent="0.35">
      <c r="A88" s="163"/>
      <c r="B88" s="145"/>
      <c r="C88" s="65"/>
      <c r="D88" s="55"/>
      <c r="E88" s="55"/>
      <c r="F88" s="132"/>
    </row>
    <row r="89" spans="1:7" ht="24.6" thickTop="1" thickBot="1" x14ac:dyDescent="0.35">
      <c r="A89" s="163"/>
      <c r="B89" s="144"/>
      <c r="C89" s="66"/>
      <c r="D89" s="50"/>
      <c r="E89" s="50"/>
      <c r="F89" s="128"/>
    </row>
    <row r="90" spans="1:7" ht="24.6" thickTop="1" thickBot="1" x14ac:dyDescent="0.35">
      <c r="A90" s="163" t="s">
        <v>18</v>
      </c>
      <c r="B90" s="141">
        <v>46235</v>
      </c>
      <c r="C90" s="36" t="s">
        <v>182</v>
      </c>
      <c r="D90" s="37">
        <f>'Days each month'!$C$24*'Days each month'!C15</f>
        <v>1022.2497716894978</v>
      </c>
      <c r="E90" s="37"/>
      <c r="F90" s="133"/>
    </row>
    <row r="91" spans="1:7" ht="24.6" thickTop="1" thickBot="1" x14ac:dyDescent="0.35">
      <c r="A91" s="163"/>
      <c r="B91" s="143"/>
      <c r="C91" s="10" t="s">
        <v>215</v>
      </c>
      <c r="D91" s="136">
        <v>389.94</v>
      </c>
      <c r="E91" s="47">
        <f>'August 2026'!C72</f>
        <v>171.16666666666666</v>
      </c>
      <c r="F91" s="69" t="s">
        <v>165</v>
      </c>
    </row>
    <row r="92" spans="1:7" ht="24.6" thickTop="1" thickBot="1" x14ac:dyDescent="0.35">
      <c r="A92" s="163"/>
      <c r="B92" s="143"/>
      <c r="C92" s="10"/>
      <c r="D92" s="47"/>
      <c r="E92" s="47">
        <f>'August 2026'!C13*(-1)</f>
        <v>-44.7</v>
      </c>
      <c r="F92" s="69" t="s">
        <v>166</v>
      </c>
    </row>
    <row r="93" spans="1:7" ht="24.6" thickTop="1" thickBot="1" x14ac:dyDescent="0.35">
      <c r="A93" s="163"/>
      <c r="B93" s="145"/>
      <c r="C93" s="22"/>
      <c r="D93" s="53"/>
      <c r="E93" s="47">
        <v>-389.94</v>
      </c>
      <c r="F93" s="69" t="s">
        <v>214</v>
      </c>
    </row>
    <row r="94" spans="1:7" ht="24.6" thickTop="1" thickBot="1" x14ac:dyDescent="0.35">
      <c r="A94" s="163"/>
      <c r="B94" s="145"/>
      <c r="C94" s="22"/>
      <c r="D94" s="53"/>
      <c r="E94" s="47"/>
      <c r="F94" s="69"/>
    </row>
    <row r="95" spans="1:7" ht="24.6" thickTop="1" thickBot="1" x14ac:dyDescent="0.35">
      <c r="A95" s="163"/>
      <c r="B95" s="145"/>
      <c r="C95" s="22"/>
      <c r="D95" s="53"/>
      <c r="E95" s="47"/>
      <c r="G95" s="138">
        <f>SUM(E91:E94)</f>
        <v>-263.47333333333336</v>
      </c>
    </row>
    <row r="96" spans="1:7" ht="24.6" thickTop="1" thickBot="1" x14ac:dyDescent="0.35">
      <c r="A96" s="163"/>
      <c r="B96" s="145"/>
      <c r="C96" s="63"/>
      <c r="D96" s="53"/>
      <c r="E96" s="53"/>
      <c r="F96" s="132"/>
    </row>
    <row r="97" spans="1:7" ht="24.6" thickTop="1" thickBot="1" x14ac:dyDescent="0.35">
      <c r="A97" s="163"/>
      <c r="B97" s="144"/>
      <c r="C97" s="64"/>
      <c r="D97" s="48"/>
      <c r="E97" s="48"/>
      <c r="F97" s="128"/>
    </row>
    <row r="98" spans="1:7" ht="24.6" thickTop="1" thickBot="1" x14ac:dyDescent="0.35">
      <c r="A98" s="163" t="s">
        <v>19</v>
      </c>
      <c r="B98" s="141">
        <v>46266</v>
      </c>
      <c r="C98" s="42" t="s">
        <v>181</v>
      </c>
      <c r="D98" s="51">
        <f>'Days each month'!$C$24*'Days each month'!C16</f>
        <v>989.27397260273983</v>
      </c>
      <c r="E98" s="51"/>
      <c r="F98" s="133"/>
    </row>
    <row r="99" spans="1:7" ht="24.6" thickTop="1" thickBot="1" x14ac:dyDescent="0.35">
      <c r="A99" s="163"/>
      <c r="B99" s="143"/>
      <c r="C99" s="33"/>
      <c r="D99" s="49"/>
      <c r="E99" s="49">
        <f>'September 2026'!C75</f>
        <v>0</v>
      </c>
      <c r="F99" s="69" t="s">
        <v>167</v>
      </c>
    </row>
    <row r="100" spans="1:7" ht="24.6" thickTop="1" thickBot="1" x14ac:dyDescent="0.35">
      <c r="A100" s="163"/>
      <c r="B100" s="143"/>
      <c r="C100" s="33"/>
      <c r="D100" s="49"/>
      <c r="E100" s="49">
        <f>'September 2026'!C13*(-1)</f>
        <v>0</v>
      </c>
      <c r="F100" s="69" t="s">
        <v>168</v>
      </c>
    </row>
    <row r="101" spans="1:7" ht="24.6" thickTop="1" thickBot="1" x14ac:dyDescent="0.35">
      <c r="A101" s="163"/>
      <c r="B101" s="145"/>
      <c r="C101" s="54"/>
      <c r="D101" s="55"/>
      <c r="E101" s="49"/>
      <c r="F101" s="69"/>
    </row>
    <row r="102" spans="1:7" ht="24.6" thickTop="1" thickBot="1" x14ac:dyDescent="0.35">
      <c r="A102" s="163"/>
      <c r="B102" s="145"/>
      <c r="C102" s="54"/>
      <c r="D102" s="55"/>
      <c r="E102" s="49"/>
      <c r="F102" s="69"/>
    </row>
    <row r="103" spans="1:7" ht="24.6" thickTop="1" thickBot="1" x14ac:dyDescent="0.35">
      <c r="A103" s="163"/>
      <c r="B103" s="145"/>
      <c r="C103" s="54"/>
      <c r="D103" s="55"/>
      <c r="E103" s="49"/>
      <c r="G103" s="138">
        <f>SUM(E99:E102)</f>
        <v>0</v>
      </c>
    </row>
    <row r="104" spans="1:7" ht="24.6" thickTop="1" thickBot="1" x14ac:dyDescent="0.35">
      <c r="A104" s="163"/>
      <c r="B104" s="145"/>
      <c r="C104" s="65"/>
      <c r="D104" s="55"/>
      <c r="E104" s="55"/>
      <c r="F104" s="69"/>
    </row>
    <row r="105" spans="1:7" ht="24.6" thickTop="1" thickBot="1" x14ac:dyDescent="0.35">
      <c r="A105" s="167"/>
      <c r="B105" s="144"/>
      <c r="C105" s="66"/>
      <c r="D105" s="50"/>
      <c r="E105" s="50"/>
      <c r="F105" s="128"/>
    </row>
    <row r="106" spans="1:7" ht="24.6" thickTop="1" thickBot="1" x14ac:dyDescent="0.35">
      <c r="A106" s="163" t="s">
        <v>8</v>
      </c>
      <c r="B106" s="141">
        <v>46296</v>
      </c>
      <c r="C106" s="36" t="s">
        <v>183</v>
      </c>
      <c r="D106" s="37">
        <f>'Days each month'!$C$24*'Days each month'!C17</f>
        <v>395.70958904109591</v>
      </c>
      <c r="E106" s="37"/>
      <c r="F106" s="133"/>
    </row>
    <row r="107" spans="1:7" ht="24.6" thickTop="1" thickBot="1" x14ac:dyDescent="0.35">
      <c r="A107" s="163"/>
      <c r="B107" s="143"/>
      <c r="C107" s="10"/>
      <c r="D107" s="47"/>
      <c r="E107" s="47">
        <f>'October 2026'!C73</f>
        <v>0</v>
      </c>
      <c r="F107" s="69" t="s">
        <v>169</v>
      </c>
    </row>
    <row r="108" spans="1:7" ht="24.6" thickTop="1" thickBot="1" x14ac:dyDescent="0.35">
      <c r="A108" s="163"/>
      <c r="B108" s="143"/>
      <c r="C108" s="10"/>
      <c r="D108" s="47"/>
      <c r="E108" s="47">
        <f>'October 2026'!C13*(-1)</f>
        <v>0</v>
      </c>
      <c r="F108" s="69" t="s">
        <v>170</v>
      </c>
    </row>
    <row r="109" spans="1:7" ht="24.6" thickTop="1" thickBot="1" x14ac:dyDescent="0.35">
      <c r="A109" s="163"/>
      <c r="B109" s="145"/>
      <c r="C109" s="22"/>
      <c r="D109" s="53"/>
      <c r="E109" s="47"/>
      <c r="F109" s="69"/>
    </row>
    <row r="110" spans="1:7" ht="24.6" thickTop="1" thickBot="1" x14ac:dyDescent="0.35">
      <c r="A110" s="163"/>
      <c r="B110" s="145"/>
      <c r="C110" s="22"/>
      <c r="D110" s="53"/>
      <c r="E110" s="47"/>
      <c r="F110" s="69"/>
    </row>
    <row r="111" spans="1:7" ht="24.6" thickTop="1" thickBot="1" x14ac:dyDescent="0.35">
      <c r="A111" s="163"/>
      <c r="B111" s="145"/>
      <c r="C111" s="22"/>
      <c r="D111" s="53"/>
      <c r="E111" s="47"/>
      <c r="G111" s="138">
        <f>SUM(E107:E110)</f>
        <v>0</v>
      </c>
    </row>
    <row r="112" spans="1:7" ht="24.6" thickTop="1" thickBot="1" x14ac:dyDescent="0.35">
      <c r="A112" s="163"/>
      <c r="B112" s="145"/>
      <c r="C112" s="63"/>
      <c r="D112" s="53"/>
      <c r="E112" s="53"/>
      <c r="F112" s="132"/>
    </row>
    <row r="113" spans="1:6" ht="24.6" thickTop="1" thickBot="1" x14ac:dyDescent="0.35">
      <c r="A113" s="163"/>
      <c r="B113" s="144"/>
      <c r="C113" s="64"/>
      <c r="D113" s="48"/>
      <c r="E113" s="48"/>
      <c r="F113" s="128"/>
    </row>
    <row r="114" spans="1:6" ht="24" thickTop="1" x14ac:dyDescent="0.3">
      <c r="D114" s="52"/>
    </row>
    <row r="115" spans="1:6" x14ac:dyDescent="0.3">
      <c r="D115" s="52"/>
    </row>
    <row r="116" spans="1:6" x14ac:dyDescent="0.3">
      <c r="D116" s="52"/>
    </row>
    <row r="117" spans="1:6" x14ac:dyDescent="0.3">
      <c r="D117" s="52"/>
    </row>
    <row r="118" spans="1:6" x14ac:dyDescent="0.3">
      <c r="D118" s="52"/>
    </row>
    <row r="119" spans="1:6" x14ac:dyDescent="0.3">
      <c r="D119" s="52"/>
    </row>
    <row r="120" spans="1:6" x14ac:dyDescent="0.3">
      <c r="B120" s="149"/>
      <c r="D120" s="52"/>
    </row>
    <row r="121" spans="1:6" x14ac:dyDescent="0.3">
      <c r="A121" s="4"/>
      <c r="B121" s="162"/>
      <c r="D121" s="52"/>
    </row>
    <row r="122" spans="1:6" ht="24" thickBot="1" x14ac:dyDescent="0.35">
      <c r="A122" s="4"/>
      <c r="B122" s="162"/>
      <c r="D122" s="52"/>
    </row>
    <row r="123" spans="1:6" ht="48" thickTop="1" thickBot="1" x14ac:dyDescent="0.35">
      <c r="A123" s="99" t="s">
        <v>212</v>
      </c>
      <c r="B123" s="100">
        <v>45944</v>
      </c>
      <c r="D123" s="70" t="s">
        <v>20</v>
      </c>
      <c r="E123" s="71" t="s">
        <v>21</v>
      </c>
    </row>
    <row r="124" spans="1:6" ht="24.6" thickTop="1" thickBot="1" x14ac:dyDescent="0.5">
      <c r="A124" s="99" t="s">
        <v>70</v>
      </c>
      <c r="B124" s="100">
        <v>46308</v>
      </c>
      <c r="C124" s="6"/>
      <c r="D124" s="70">
        <f>SUM(D5:D115)</f>
        <v>-261.3353652968018</v>
      </c>
      <c r="E124" s="70">
        <f>SUM(E5:E116)</f>
        <v>-4.9999999999954525E-3</v>
      </c>
    </row>
    <row r="125" spans="1:6" ht="24" thickTop="1" x14ac:dyDescent="0.3"/>
  </sheetData>
  <mergeCells count="14">
    <mergeCell ref="A106:A113"/>
    <mergeCell ref="B1:F1"/>
    <mergeCell ref="A5:A12"/>
    <mergeCell ref="A13:A20"/>
    <mergeCell ref="A21:A28"/>
    <mergeCell ref="A29:A36"/>
    <mergeCell ref="A81:A89"/>
    <mergeCell ref="A90:A97"/>
    <mergeCell ref="A98:A105"/>
    <mergeCell ref="A37:A45"/>
    <mergeCell ref="A46:A53"/>
    <mergeCell ref="A54:A61"/>
    <mergeCell ref="A62:A71"/>
    <mergeCell ref="A72:A80"/>
  </mergeCells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821E-9348-4D57-824A-70F8F361171F}">
  <dimension ref="A1:K102"/>
  <sheetViews>
    <sheetView topLeftCell="A88" zoomScale="85" zoomScaleNormal="85" workbookViewId="0">
      <selection activeCell="C99" sqref="C99"/>
    </sheetView>
  </sheetViews>
  <sheetFormatPr defaultColWidth="9.109375" defaultRowHeight="23.4" x14ac:dyDescent="0.3"/>
  <cols>
    <col min="1" max="1" width="19.88671875" style="1" bestFit="1" customWidth="1"/>
    <col min="2" max="2" width="29.21875" style="4" bestFit="1" customWidth="1"/>
    <col min="3" max="3" width="63.21875" style="4" bestFit="1" customWidth="1"/>
    <col min="4" max="4" width="31.109375" style="4" bestFit="1" customWidth="1"/>
    <col min="5" max="5" width="31.88671875" style="52" bestFit="1" customWidth="1"/>
    <col min="6" max="6" width="45.88671875" style="4" bestFit="1" customWidth="1"/>
    <col min="7" max="7" width="11.88671875" style="4" bestFit="1" customWidth="1"/>
    <col min="8" max="8" width="9.109375" style="1"/>
    <col min="9" max="9" width="20.44140625" style="1" bestFit="1" customWidth="1"/>
    <col min="10" max="10" width="16.44140625" style="1" bestFit="1" customWidth="1"/>
    <col min="11" max="11" width="16.21875" style="1" bestFit="1" customWidth="1"/>
    <col min="12" max="16384" width="9.109375" style="1"/>
  </cols>
  <sheetData>
    <row r="1" spans="1:7" x14ac:dyDescent="0.3">
      <c r="B1" s="164" t="s">
        <v>172</v>
      </c>
      <c r="C1" s="164"/>
      <c r="D1" s="164"/>
      <c r="E1" s="164"/>
      <c r="F1" s="164"/>
    </row>
    <row r="3" spans="1:7" x14ac:dyDescent="0.3">
      <c r="A3" s="74" t="s">
        <v>1</v>
      </c>
      <c r="B3" s="67" t="s">
        <v>2</v>
      </c>
      <c r="C3" s="5" t="s">
        <v>3</v>
      </c>
      <c r="D3" s="5" t="s">
        <v>174</v>
      </c>
      <c r="E3" s="68" t="s">
        <v>5</v>
      </c>
      <c r="F3" s="107" t="s">
        <v>6</v>
      </c>
    </row>
    <row r="4" spans="1:7" ht="24" thickBot="1" x14ac:dyDescent="0.35">
      <c r="A4" s="57"/>
      <c r="B4" s="140"/>
      <c r="C4" s="35" t="s">
        <v>7</v>
      </c>
      <c r="D4" s="46"/>
      <c r="E4" s="135"/>
      <c r="F4" s="115"/>
    </row>
    <row r="5" spans="1:7" ht="24.6" thickTop="1" thickBot="1" x14ac:dyDescent="0.35">
      <c r="A5" s="165" t="s">
        <v>8</v>
      </c>
      <c r="B5" s="141">
        <v>45931</v>
      </c>
      <c r="C5" s="36" t="s">
        <v>176</v>
      </c>
      <c r="D5" s="37">
        <f>'Days each month'!$C$24*'Days each month'!C5</f>
        <v>626.54018264840192</v>
      </c>
      <c r="E5" s="47"/>
      <c r="F5" s="116"/>
    </row>
    <row r="6" spans="1:7" ht="24.6" thickTop="1" thickBot="1" x14ac:dyDescent="0.35">
      <c r="A6" s="166"/>
      <c r="B6" s="142"/>
      <c r="C6" s="98" t="s">
        <v>171</v>
      </c>
      <c r="D6" s="102">
        <v>-3611.74</v>
      </c>
      <c r="E6" s="47"/>
      <c r="F6" s="107"/>
    </row>
    <row r="7" spans="1:7" ht="24.6" thickTop="1" thickBot="1" x14ac:dyDescent="0.35">
      <c r="A7" s="166"/>
      <c r="B7" s="142"/>
      <c r="C7" s="10"/>
      <c r="D7" s="47"/>
      <c r="E7" s="96">
        <f>(850/2)+(50/2)+(23/2)</f>
        <v>461.5</v>
      </c>
      <c r="F7" s="116" t="s">
        <v>58</v>
      </c>
    </row>
    <row r="8" spans="1:7" ht="24.6" thickTop="1" thickBot="1" x14ac:dyDescent="0.35">
      <c r="A8" s="163"/>
      <c r="B8" s="143"/>
      <c r="C8" s="103"/>
      <c r="D8" s="75"/>
      <c r="E8" s="136">
        <f>'October 2025'!C85</f>
        <v>221.90333333333331</v>
      </c>
      <c r="F8" s="107" t="s">
        <v>143</v>
      </c>
    </row>
    <row r="9" spans="1:7" ht="24.6" thickTop="1" thickBot="1" x14ac:dyDescent="0.35">
      <c r="A9" s="163"/>
      <c r="B9" s="143"/>
      <c r="C9" s="59"/>
      <c r="D9" s="47"/>
      <c r="E9" s="136">
        <f>'October 2025'!C68*(-1)</f>
        <v>0</v>
      </c>
      <c r="F9" s="107" t="s">
        <v>144</v>
      </c>
    </row>
    <row r="10" spans="1:7" ht="24.6" thickTop="1" thickBot="1" x14ac:dyDescent="0.35">
      <c r="A10" s="163"/>
      <c r="B10" s="143"/>
      <c r="C10" s="59"/>
      <c r="D10" s="47"/>
      <c r="E10" s="137"/>
      <c r="F10" s="107"/>
      <c r="G10" s="139">
        <f>SUM(E6:E9)</f>
        <v>683.40333333333331</v>
      </c>
    </row>
    <row r="11" spans="1:7" ht="24.6" thickTop="1" thickBot="1" x14ac:dyDescent="0.35">
      <c r="A11" s="163"/>
      <c r="B11" s="144"/>
      <c r="C11" s="64"/>
      <c r="D11" s="104"/>
      <c r="E11" s="62"/>
      <c r="F11" s="117" t="s">
        <v>137</v>
      </c>
    </row>
    <row r="12" spans="1:7" ht="24.6" thickTop="1" thickBot="1" x14ac:dyDescent="0.35">
      <c r="A12" s="163" t="s">
        <v>9</v>
      </c>
      <c r="B12" s="141">
        <v>45962</v>
      </c>
      <c r="C12" s="42" t="s">
        <v>177</v>
      </c>
      <c r="D12" s="61">
        <f>'Days each month'!$C$24*'Days each month'!C6</f>
        <v>989.27397260273983</v>
      </c>
      <c r="E12" s="61"/>
      <c r="F12" s="118"/>
    </row>
    <row r="13" spans="1:7" ht="24.6" thickTop="1" thickBot="1" x14ac:dyDescent="0.35">
      <c r="A13" s="163"/>
      <c r="B13" s="145">
        <v>45981</v>
      </c>
      <c r="C13" s="33" t="s">
        <v>141</v>
      </c>
      <c r="D13" s="55">
        <v>-500</v>
      </c>
      <c r="E13" s="55"/>
      <c r="F13" s="119"/>
    </row>
    <row r="14" spans="1:7" ht="24.6" thickTop="1" thickBot="1" x14ac:dyDescent="0.35">
      <c r="A14" s="163"/>
      <c r="B14" s="145">
        <v>45987</v>
      </c>
      <c r="C14" s="33" t="s">
        <v>141</v>
      </c>
      <c r="D14" s="55">
        <v>-1000</v>
      </c>
      <c r="E14" s="55"/>
      <c r="F14" s="119"/>
    </row>
    <row r="15" spans="1:7" ht="24.6" thickTop="1" thickBot="1" x14ac:dyDescent="0.35">
      <c r="A15" s="163"/>
      <c r="B15" s="143"/>
      <c r="C15" s="33"/>
      <c r="D15" s="49"/>
      <c r="E15" s="49">
        <f>'November 2025'!C78</f>
        <v>74.11333333333333</v>
      </c>
      <c r="F15" s="120" t="s">
        <v>145</v>
      </c>
    </row>
    <row r="16" spans="1:7" ht="24.6" thickTop="1" thickBot="1" x14ac:dyDescent="0.35">
      <c r="A16" s="163"/>
      <c r="B16" s="143"/>
      <c r="C16" s="33"/>
      <c r="D16" s="49"/>
      <c r="E16" s="49">
        <f>'November 2025'!C61*(-1)</f>
        <v>-33.5</v>
      </c>
      <c r="F16" s="107" t="s">
        <v>146</v>
      </c>
    </row>
    <row r="17" spans="1:11" ht="24.6" thickTop="1" thickBot="1" x14ac:dyDescent="0.35">
      <c r="A17" s="163"/>
      <c r="B17" s="145"/>
      <c r="C17" s="54"/>
      <c r="D17" s="55"/>
      <c r="E17" s="49">
        <v>-52</v>
      </c>
      <c r="F17" s="107" t="s">
        <v>65</v>
      </c>
    </row>
    <row r="18" spans="1:11" ht="24.6" thickTop="1" thickBot="1" x14ac:dyDescent="0.35">
      <c r="A18" s="163"/>
      <c r="B18" s="145"/>
      <c r="C18" s="33"/>
      <c r="D18" s="55"/>
      <c r="E18" s="49"/>
      <c r="F18" s="121"/>
      <c r="G18" s="139">
        <f>SUM(E15:E17)</f>
        <v>-11.38666666666667</v>
      </c>
    </row>
    <row r="19" spans="1:11" ht="24.6" thickTop="1" thickBot="1" x14ac:dyDescent="0.35">
      <c r="A19" s="163"/>
      <c r="B19" s="144"/>
      <c r="C19" s="66"/>
      <c r="D19" s="50"/>
      <c r="E19" s="50"/>
      <c r="F19" s="117" t="s">
        <v>137</v>
      </c>
    </row>
    <row r="20" spans="1:11" ht="24.6" thickTop="1" thickBot="1" x14ac:dyDescent="0.35">
      <c r="A20" s="163" t="s">
        <v>10</v>
      </c>
      <c r="B20" s="141">
        <v>45992</v>
      </c>
      <c r="C20" s="36" t="s">
        <v>178</v>
      </c>
      <c r="D20" s="37">
        <f>'Days each month'!$C$24*'Days each month'!C7</f>
        <v>1022.2497716894978</v>
      </c>
      <c r="E20" s="37"/>
      <c r="F20" s="107"/>
    </row>
    <row r="21" spans="1:11" ht="24.6" thickTop="1" thickBot="1" x14ac:dyDescent="0.35">
      <c r="A21" s="163"/>
      <c r="B21" s="143"/>
      <c r="C21" s="10"/>
      <c r="D21" s="47"/>
      <c r="E21" s="47">
        <f>'December 2025'!C79</f>
        <v>38.603333333333332</v>
      </c>
      <c r="F21" s="120" t="s">
        <v>147</v>
      </c>
    </row>
    <row r="22" spans="1:11" ht="24.6" thickTop="1" thickBot="1" x14ac:dyDescent="0.35">
      <c r="A22" s="163"/>
      <c r="B22" s="143"/>
      <c r="C22" s="10"/>
      <c r="D22" s="47"/>
      <c r="E22" s="47">
        <f>'December 2025'!C62*(-1)</f>
        <v>0</v>
      </c>
      <c r="F22" s="107" t="s">
        <v>148</v>
      </c>
    </row>
    <row r="23" spans="1:11" ht="24.6" thickTop="1" thickBot="1" x14ac:dyDescent="0.35">
      <c r="A23" s="163"/>
      <c r="B23" s="145"/>
      <c r="C23" s="10"/>
      <c r="D23" s="53"/>
      <c r="E23" s="47"/>
      <c r="F23" s="119"/>
      <c r="G23" s="139">
        <f>SUM(E21:E22)</f>
        <v>38.603333333333332</v>
      </c>
    </row>
    <row r="24" spans="1:11" ht="24.6" thickTop="1" thickBot="1" x14ac:dyDescent="0.35">
      <c r="A24" s="163"/>
      <c r="B24" s="144"/>
      <c r="C24" s="64"/>
      <c r="D24" s="48"/>
      <c r="E24" s="48"/>
      <c r="F24" s="117" t="s">
        <v>137</v>
      </c>
      <c r="J24" s="4"/>
      <c r="K24" s="4"/>
    </row>
    <row r="25" spans="1:11" ht="24.6" thickTop="1" thickBot="1" x14ac:dyDescent="0.35">
      <c r="A25" s="163" t="s">
        <v>11</v>
      </c>
      <c r="B25" s="141">
        <v>46023</v>
      </c>
      <c r="C25" s="42" t="s">
        <v>178</v>
      </c>
      <c r="D25" s="51">
        <f>'Days each month'!$C$24*'Days each month'!C8</f>
        <v>1022.2497716894978</v>
      </c>
      <c r="E25" s="51"/>
      <c r="F25" s="122"/>
      <c r="J25" s="4"/>
      <c r="K25" s="4"/>
    </row>
    <row r="26" spans="1:11" ht="24.6" thickTop="1" thickBot="1" x14ac:dyDescent="0.35">
      <c r="A26" s="163"/>
      <c r="B26" s="143">
        <v>46047</v>
      </c>
      <c r="C26" s="33" t="s">
        <v>141</v>
      </c>
      <c r="D26" s="49">
        <v>-1000.5</v>
      </c>
      <c r="E26" s="93"/>
      <c r="F26" s="123"/>
      <c r="J26" s="4"/>
      <c r="K26" s="4"/>
    </row>
    <row r="27" spans="1:11" ht="24.6" thickTop="1" thickBot="1" x14ac:dyDescent="0.35">
      <c r="A27" s="163"/>
      <c r="B27" s="143"/>
      <c r="C27" s="33"/>
      <c r="D27" s="49"/>
      <c r="E27" s="49">
        <f>'January 2026'!C79</f>
        <v>65.983333333333334</v>
      </c>
      <c r="F27" s="120" t="s">
        <v>149</v>
      </c>
    </row>
    <row r="28" spans="1:11" ht="24.6" thickTop="1" thickBot="1" x14ac:dyDescent="0.35">
      <c r="A28" s="163"/>
      <c r="B28" s="143"/>
      <c r="C28" s="33"/>
      <c r="D28" s="49"/>
      <c r="E28" s="49">
        <f>'January 2026'!C62*(-1)</f>
        <v>-50</v>
      </c>
      <c r="F28" s="107" t="s">
        <v>150</v>
      </c>
    </row>
    <row r="29" spans="1:11" ht="24.6" thickTop="1" thickBot="1" x14ac:dyDescent="0.35">
      <c r="A29" s="163"/>
      <c r="B29" s="145"/>
      <c r="C29" s="54"/>
      <c r="D29" s="55"/>
      <c r="E29" s="49"/>
      <c r="F29" s="124"/>
      <c r="G29" s="139">
        <f>SUM(E27:E28)</f>
        <v>15.983333333333334</v>
      </c>
    </row>
    <row r="30" spans="1:11" ht="24.6" thickTop="1" thickBot="1" x14ac:dyDescent="0.35">
      <c r="A30" s="163"/>
      <c r="B30" s="144"/>
      <c r="C30" s="66"/>
      <c r="D30" s="50"/>
      <c r="E30" s="50"/>
      <c r="F30" s="117" t="s">
        <v>137</v>
      </c>
    </row>
    <row r="31" spans="1:11" ht="24.6" thickTop="1" thickBot="1" x14ac:dyDescent="0.35">
      <c r="A31" s="163" t="s">
        <v>12</v>
      </c>
      <c r="B31" s="146">
        <v>46054</v>
      </c>
      <c r="C31" s="36" t="s">
        <v>179</v>
      </c>
      <c r="D31" s="37">
        <f>'Days each month'!$C$24*'Days each month'!C9</f>
        <v>923.32237442922383</v>
      </c>
      <c r="E31" s="37"/>
      <c r="F31" s="122"/>
    </row>
    <row r="32" spans="1:11" ht="24.6" thickTop="1" thickBot="1" x14ac:dyDescent="0.35">
      <c r="A32" s="163"/>
      <c r="B32" s="147">
        <v>46054</v>
      </c>
      <c r="C32" s="10"/>
      <c r="D32" s="47"/>
      <c r="E32" s="47">
        <f>'February 2026'!C79</f>
        <v>139.73333333333335</v>
      </c>
      <c r="F32" s="107" t="s">
        <v>151</v>
      </c>
    </row>
    <row r="33" spans="1:7" ht="24.6" thickTop="1" thickBot="1" x14ac:dyDescent="0.35">
      <c r="A33" s="163"/>
      <c r="B33" s="143"/>
      <c r="C33" s="10"/>
      <c r="D33" s="47"/>
      <c r="E33" s="47">
        <f>'February 2026'!C62*(-1)</f>
        <v>-90</v>
      </c>
      <c r="F33" s="107" t="s">
        <v>152</v>
      </c>
    </row>
    <row r="34" spans="1:7" ht="24.6" thickTop="1" thickBot="1" x14ac:dyDescent="0.35">
      <c r="A34" s="163"/>
      <c r="B34" s="145"/>
      <c r="C34" s="22"/>
      <c r="D34" s="53"/>
      <c r="E34" s="47">
        <v>-615</v>
      </c>
      <c r="F34" s="107" t="s">
        <v>213</v>
      </c>
    </row>
    <row r="35" spans="1:7" ht="24.6" thickTop="1" thickBot="1" x14ac:dyDescent="0.35">
      <c r="A35" s="163"/>
      <c r="B35" s="145"/>
      <c r="C35" s="22"/>
      <c r="D35" s="53"/>
      <c r="E35" s="47"/>
      <c r="F35" s="124"/>
      <c r="G35" s="139">
        <f>SUM(E32:E34)</f>
        <v>-565.26666666666665</v>
      </c>
    </row>
    <row r="36" spans="1:7" ht="24.6" thickTop="1" thickBot="1" x14ac:dyDescent="0.35">
      <c r="A36" s="163"/>
      <c r="B36" s="144"/>
      <c r="C36" s="63"/>
      <c r="D36" s="48"/>
      <c r="E36" s="48"/>
      <c r="F36" s="117" t="s">
        <v>137</v>
      </c>
    </row>
    <row r="37" spans="1:7" ht="24.6" thickTop="1" thickBot="1" x14ac:dyDescent="0.35">
      <c r="A37" s="163" t="s">
        <v>13</v>
      </c>
      <c r="B37" s="141">
        <v>46082</v>
      </c>
      <c r="C37" s="42" t="s">
        <v>178</v>
      </c>
      <c r="D37" s="49">
        <f>'Days each month'!$C$24*'Days each month'!C10</f>
        <v>1022.2497716894978</v>
      </c>
      <c r="E37" s="49">
        <f>'March 2026'!C83</f>
        <v>205.29666666666665</v>
      </c>
      <c r="F37" s="107" t="s">
        <v>154</v>
      </c>
    </row>
    <row r="38" spans="1:7" ht="24.6" thickTop="1" thickBot="1" x14ac:dyDescent="0.35">
      <c r="A38" s="163"/>
      <c r="B38" s="143"/>
      <c r="C38" s="33"/>
      <c r="D38" s="49"/>
      <c r="E38" s="49">
        <f>'March 2026'!C66*(-1)</f>
        <v>-26</v>
      </c>
      <c r="F38" s="107" t="s">
        <v>155</v>
      </c>
    </row>
    <row r="39" spans="1:7" ht="24.6" thickTop="1" thickBot="1" x14ac:dyDescent="0.35">
      <c r="A39" s="163"/>
      <c r="B39" s="145">
        <v>46084</v>
      </c>
      <c r="C39" s="54"/>
      <c r="D39" s="55"/>
      <c r="E39" s="49">
        <v>-20</v>
      </c>
      <c r="F39" s="125" t="s">
        <v>88</v>
      </c>
    </row>
    <row r="40" spans="1:7" ht="24.6" thickTop="1" thickBot="1" x14ac:dyDescent="0.35">
      <c r="A40" s="163"/>
      <c r="B40" s="145">
        <v>46090</v>
      </c>
      <c r="C40" s="54"/>
      <c r="D40" s="55"/>
      <c r="E40" s="49">
        <f>225/2</f>
        <v>112.5</v>
      </c>
      <c r="F40" s="125" t="s">
        <v>94</v>
      </c>
    </row>
    <row r="41" spans="1:7" ht="24.6" thickTop="1" thickBot="1" x14ac:dyDescent="0.35">
      <c r="A41" s="163"/>
      <c r="B41" s="145">
        <v>46111</v>
      </c>
      <c r="C41" s="54"/>
      <c r="D41" s="55"/>
      <c r="E41" s="49">
        <f>22.94/2</f>
        <v>11.47</v>
      </c>
      <c r="F41" s="125" t="s">
        <v>99</v>
      </c>
    </row>
    <row r="42" spans="1:7" ht="24.6" thickTop="1" thickBot="1" x14ac:dyDescent="0.35">
      <c r="A42" s="163"/>
      <c r="B42" s="145">
        <v>46112</v>
      </c>
      <c r="C42" s="54"/>
      <c r="D42" s="55"/>
      <c r="E42" s="49">
        <f>36/2</f>
        <v>18</v>
      </c>
      <c r="F42" s="125" t="s">
        <v>100</v>
      </c>
    </row>
    <row r="43" spans="1:7" ht="24.6" thickTop="1" thickBot="1" x14ac:dyDescent="0.35">
      <c r="A43" s="163"/>
      <c r="B43" s="145"/>
      <c r="C43" s="54"/>
      <c r="D43" s="55"/>
      <c r="E43" s="49"/>
      <c r="F43" s="107"/>
      <c r="G43" s="139">
        <f>SUM(E37:E42)</f>
        <v>301.26666666666665</v>
      </c>
    </row>
    <row r="44" spans="1:7" ht="24.6" thickTop="1" thickBot="1" x14ac:dyDescent="0.35">
      <c r="A44" s="163"/>
      <c r="B44" s="144"/>
      <c r="C44" s="66"/>
      <c r="D44" s="50"/>
      <c r="E44" s="50"/>
      <c r="F44" s="117" t="s">
        <v>137</v>
      </c>
    </row>
    <row r="45" spans="1:7" ht="24.6" thickTop="1" thickBot="1" x14ac:dyDescent="0.35">
      <c r="A45" s="163" t="s">
        <v>14</v>
      </c>
      <c r="B45" s="141">
        <v>46113</v>
      </c>
      <c r="C45" s="36" t="s">
        <v>177</v>
      </c>
      <c r="D45" s="37">
        <f>'Days each month'!$C$24*'Days each month'!C11</f>
        <v>989.27397260273983</v>
      </c>
      <c r="E45" s="37"/>
      <c r="F45" s="122"/>
    </row>
    <row r="46" spans="1:7" ht="24.6" thickTop="1" thickBot="1" x14ac:dyDescent="0.35">
      <c r="A46" s="163"/>
      <c r="B46" s="143"/>
      <c r="C46" s="10"/>
      <c r="D46" s="47"/>
      <c r="E46" s="47">
        <f>'April 2026'!C83</f>
        <v>67.070000000000007</v>
      </c>
      <c r="F46" s="107" t="s">
        <v>157</v>
      </c>
    </row>
    <row r="47" spans="1:7" ht="24.6" thickTop="1" thickBot="1" x14ac:dyDescent="0.35">
      <c r="A47" s="163"/>
      <c r="B47" s="143"/>
      <c r="C47" s="10"/>
      <c r="D47" s="47"/>
      <c r="E47" s="47">
        <f>'April 2026'!C66*(-1)</f>
        <v>0</v>
      </c>
      <c r="F47" s="107" t="s">
        <v>158</v>
      </c>
    </row>
    <row r="48" spans="1:7" ht="24.6" thickTop="1" thickBot="1" x14ac:dyDescent="0.35">
      <c r="A48" s="163"/>
      <c r="B48" s="145">
        <v>46116</v>
      </c>
      <c r="C48" s="22"/>
      <c r="D48" s="53"/>
      <c r="E48" s="47">
        <v>18.36</v>
      </c>
      <c r="F48" s="125" t="s">
        <v>102</v>
      </c>
    </row>
    <row r="49" spans="1:9" ht="24.6" thickTop="1" thickBot="1" x14ac:dyDescent="0.35">
      <c r="A49" s="163"/>
      <c r="B49" s="145"/>
      <c r="C49" s="22"/>
      <c r="D49" s="53"/>
      <c r="E49" s="47">
        <f>17.25/2</f>
        <v>8.625</v>
      </c>
      <c r="F49" s="107" t="s">
        <v>173</v>
      </c>
    </row>
    <row r="50" spans="1:9" ht="24.6" thickTop="1" thickBot="1" x14ac:dyDescent="0.35">
      <c r="A50" s="163"/>
      <c r="B50" s="145"/>
      <c r="C50" s="22"/>
      <c r="D50" s="53"/>
      <c r="E50" s="47">
        <v>16.170000000000002</v>
      </c>
      <c r="F50" s="125" t="s">
        <v>106</v>
      </c>
    </row>
    <row r="51" spans="1:9" ht="24.6" thickTop="1" thickBot="1" x14ac:dyDescent="0.35">
      <c r="A51" s="163"/>
      <c r="B51" s="145"/>
      <c r="C51" s="22"/>
      <c r="D51" s="53"/>
      <c r="E51" s="47"/>
      <c r="F51" s="107"/>
      <c r="G51" s="139">
        <f>SUM(E46:E50)</f>
        <v>110.22500000000001</v>
      </c>
    </row>
    <row r="52" spans="1:9" ht="24.6" thickTop="1" thickBot="1" x14ac:dyDescent="0.35">
      <c r="A52" s="163"/>
      <c r="B52" s="144"/>
      <c r="C52" s="64"/>
      <c r="D52" s="48"/>
      <c r="E52" s="48"/>
      <c r="F52" s="117" t="s">
        <v>137</v>
      </c>
      <c r="I52" s="34"/>
    </row>
    <row r="53" spans="1:9" ht="24.6" thickTop="1" thickBot="1" x14ac:dyDescent="0.35">
      <c r="A53" s="163" t="s">
        <v>15</v>
      </c>
      <c r="B53" s="146">
        <v>46143</v>
      </c>
      <c r="C53" s="153" t="s">
        <v>180</v>
      </c>
      <c r="D53" s="95">
        <f>'Days each month'!$C$24*1</f>
        <v>32.975799086757995</v>
      </c>
      <c r="E53" s="51"/>
      <c r="F53" s="122"/>
      <c r="I53" s="34"/>
    </row>
    <row r="54" spans="1:9" ht="24.6" thickTop="1" thickBot="1" x14ac:dyDescent="0.35">
      <c r="A54" s="163"/>
      <c r="B54" s="147">
        <v>46143</v>
      </c>
      <c r="C54" s="33" t="s">
        <v>181</v>
      </c>
      <c r="D54" s="93">
        <f>'Days each month'!$C$25*30</f>
        <v>741.95547945205487</v>
      </c>
      <c r="E54" s="93"/>
      <c r="F54" s="123"/>
      <c r="I54" s="34"/>
    </row>
    <row r="55" spans="1:9" ht="24.6" thickTop="1" thickBot="1" x14ac:dyDescent="0.35">
      <c r="A55" s="163"/>
      <c r="B55" s="143">
        <v>46167</v>
      </c>
      <c r="C55" s="33" t="s">
        <v>141</v>
      </c>
      <c r="D55" s="49">
        <v>-4571.92</v>
      </c>
      <c r="E55" s="93"/>
      <c r="F55" s="123"/>
      <c r="I55" s="34"/>
    </row>
    <row r="56" spans="1:9" ht="24.6" thickTop="1" thickBot="1" x14ac:dyDescent="0.35">
      <c r="A56" s="163"/>
      <c r="B56" s="143"/>
      <c r="C56" s="33"/>
      <c r="D56" s="49"/>
      <c r="E56" s="49">
        <f>'May 2026'!C99</f>
        <v>96.914999999999992</v>
      </c>
      <c r="F56" s="107" t="s">
        <v>159</v>
      </c>
    </row>
    <row r="57" spans="1:9" ht="24.6" thickTop="1" thickBot="1" x14ac:dyDescent="0.35">
      <c r="A57" s="163"/>
      <c r="B57" s="143"/>
      <c r="C57" s="54"/>
      <c r="D57" s="49"/>
      <c r="E57" s="49">
        <f>'May 2026'!C66*(-1)</f>
        <v>0</v>
      </c>
      <c r="F57" s="107" t="s">
        <v>160</v>
      </c>
    </row>
    <row r="58" spans="1:9" ht="24.6" thickTop="1" thickBot="1" x14ac:dyDescent="0.35">
      <c r="A58" s="163"/>
      <c r="B58" s="145"/>
      <c r="C58" s="33"/>
      <c r="D58" s="55"/>
      <c r="E58" s="49">
        <v>-669.74</v>
      </c>
      <c r="F58" s="107" t="s">
        <v>213</v>
      </c>
    </row>
    <row r="59" spans="1:9" ht="24.6" thickTop="1" thickBot="1" x14ac:dyDescent="0.35">
      <c r="A59" s="163"/>
      <c r="B59" s="145"/>
      <c r="C59" s="54"/>
      <c r="D59" s="55"/>
      <c r="E59" s="49"/>
      <c r="F59" s="124"/>
      <c r="G59" s="139">
        <f>SUM(E56:E58)</f>
        <v>-572.82500000000005</v>
      </c>
    </row>
    <row r="60" spans="1:9" ht="24.6" thickTop="1" thickBot="1" x14ac:dyDescent="0.35">
      <c r="A60" s="163"/>
      <c r="B60" s="145"/>
      <c r="C60" s="65"/>
      <c r="D60" s="55"/>
      <c r="E60" s="55"/>
      <c r="F60" s="125"/>
    </row>
    <row r="61" spans="1:9" ht="24.6" thickTop="1" thickBot="1" x14ac:dyDescent="0.35">
      <c r="A61" s="163"/>
      <c r="B61" s="144"/>
      <c r="C61" s="155"/>
      <c r="D61" s="55"/>
      <c r="E61" s="50"/>
      <c r="F61" s="117" t="s">
        <v>137</v>
      </c>
    </row>
    <row r="62" spans="1:9" ht="24.6" thickTop="1" thickBot="1" x14ac:dyDescent="0.35">
      <c r="A62" s="163" t="s">
        <v>16</v>
      </c>
      <c r="B62" s="141">
        <v>46174</v>
      </c>
      <c r="C62" s="36" t="s">
        <v>182</v>
      </c>
      <c r="D62" s="37">
        <f>'Days each month'!$C$25*'Days each month'!C13</f>
        <v>741.95547945205487</v>
      </c>
      <c r="E62" s="37"/>
      <c r="F62" s="122"/>
    </row>
    <row r="63" spans="1:9" ht="24.6" thickTop="1" thickBot="1" x14ac:dyDescent="0.35">
      <c r="A63" s="163"/>
      <c r="B63" s="143"/>
      <c r="C63" s="101"/>
      <c r="D63" s="96"/>
      <c r="E63" s="47">
        <f>'June 2026'!C98</f>
        <v>123.41500000000001</v>
      </c>
      <c r="F63" s="107" t="s">
        <v>161</v>
      </c>
    </row>
    <row r="64" spans="1:9" ht="24.6" thickTop="1" thickBot="1" x14ac:dyDescent="0.35">
      <c r="A64" s="163"/>
      <c r="B64" s="143"/>
      <c r="C64" s="101"/>
      <c r="D64" s="96"/>
      <c r="E64" s="47">
        <f>'June 2026'!C66*(-1)</f>
        <v>-10</v>
      </c>
      <c r="F64" s="107" t="s">
        <v>162</v>
      </c>
    </row>
    <row r="65" spans="1:7" ht="24.6" thickTop="1" thickBot="1" x14ac:dyDescent="0.35">
      <c r="A65" s="163"/>
      <c r="B65" s="145"/>
      <c r="C65" s="22"/>
      <c r="D65" s="53"/>
      <c r="E65" s="47">
        <v>-113.42</v>
      </c>
      <c r="F65" s="107" t="s">
        <v>213</v>
      </c>
    </row>
    <row r="66" spans="1:7" ht="24.6" thickTop="1" thickBot="1" x14ac:dyDescent="0.35">
      <c r="A66" s="163"/>
      <c r="B66" s="145"/>
      <c r="C66" s="22"/>
      <c r="D66" s="53"/>
      <c r="E66" s="47"/>
      <c r="F66" s="124"/>
      <c r="G66" s="139">
        <f>SUM(E63:E65)</f>
        <v>-4.9999999999954525E-3</v>
      </c>
    </row>
    <row r="67" spans="1:7" ht="24.6" thickTop="1" thickBot="1" x14ac:dyDescent="0.35">
      <c r="A67" s="163"/>
      <c r="B67" s="145"/>
      <c r="C67" s="63"/>
      <c r="D67" s="53"/>
      <c r="E67" s="53"/>
      <c r="F67" s="125"/>
    </row>
    <row r="68" spans="1:7" ht="24.6" thickTop="1" thickBot="1" x14ac:dyDescent="0.35">
      <c r="A68" s="163"/>
      <c r="B68" s="144"/>
      <c r="C68" s="64"/>
      <c r="D68" s="48"/>
      <c r="E68" s="48"/>
      <c r="F68" s="117" t="s">
        <v>137</v>
      </c>
    </row>
    <row r="69" spans="1:7" ht="24.6" thickTop="1" thickBot="1" x14ac:dyDescent="0.35">
      <c r="A69" s="163" t="s">
        <v>17</v>
      </c>
      <c r="B69" s="160">
        <v>46204</v>
      </c>
      <c r="C69" s="42" t="s">
        <v>186</v>
      </c>
      <c r="D69" s="51">
        <f>'Days each month'!$C$25*19</f>
        <v>469.90513698630139</v>
      </c>
      <c r="E69" s="51"/>
      <c r="F69" s="122"/>
    </row>
    <row r="70" spans="1:7" ht="24.6" thickTop="1" thickBot="1" x14ac:dyDescent="0.35">
      <c r="A70" s="163"/>
      <c r="B70" s="161">
        <v>46204</v>
      </c>
      <c r="C70" s="114" t="s">
        <v>190</v>
      </c>
      <c r="D70" s="93">
        <f>'Days each month'!$C$24*12</f>
        <v>395.70958904109591</v>
      </c>
      <c r="E70" s="93"/>
      <c r="F70" s="123"/>
    </row>
    <row r="71" spans="1:7" ht="24.6" thickTop="1" thickBot="1" x14ac:dyDescent="0.35">
      <c r="A71" s="163"/>
      <c r="B71" s="143"/>
      <c r="C71" s="33"/>
      <c r="D71" s="49"/>
      <c r="E71" s="49">
        <f>'July 2026'!C99</f>
        <v>114.015</v>
      </c>
      <c r="F71" s="107" t="s">
        <v>163</v>
      </c>
    </row>
    <row r="72" spans="1:7" ht="24.6" thickTop="1" thickBot="1" x14ac:dyDescent="0.35">
      <c r="A72" s="163"/>
      <c r="B72" s="143"/>
      <c r="C72" s="33"/>
      <c r="D72" s="49"/>
      <c r="E72" s="49">
        <f>'July 2026'!C67*(-1)</f>
        <v>0</v>
      </c>
      <c r="F72" s="107" t="s">
        <v>164</v>
      </c>
    </row>
    <row r="73" spans="1:7" ht="24.6" thickTop="1" thickBot="1" x14ac:dyDescent="0.35">
      <c r="A73" s="163"/>
      <c r="B73" s="145"/>
      <c r="C73" s="54"/>
      <c r="D73" s="55"/>
      <c r="E73" s="49"/>
      <c r="F73" s="124"/>
      <c r="G73" s="139">
        <f>SUM(E71:E72)</f>
        <v>114.015</v>
      </c>
    </row>
    <row r="74" spans="1:7" ht="24.6" thickTop="1" thickBot="1" x14ac:dyDescent="0.35">
      <c r="A74" s="163"/>
      <c r="B74" s="144"/>
      <c r="C74" s="150"/>
      <c r="D74" s="50"/>
      <c r="E74" s="50"/>
      <c r="F74" s="117" t="s">
        <v>137</v>
      </c>
    </row>
    <row r="75" spans="1:7" ht="24.6" thickTop="1" thickBot="1" x14ac:dyDescent="0.35">
      <c r="A75" s="163" t="s">
        <v>18</v>
      </c>
      <c r="B75" s="160">
        <v>46235</v>
      </c>
      <c r="C75" s="36" t="s">
        <v>182</v>
      </c>
      <c r="D75" s="37">
        <f>'Days each month'!$C$24*'Days each month'!C15</f>
        <v>1022.2497716894978</v>
      </c>
      <c r="E75" s="37"/>
      <c r="F75" s="122"/>
    </row>
    <row r="76" spans="1:7" ht="24.6" thickTop="1" thickBot="1" x14ac:dyDescent="0.35">
      <c r="A76" s="163"/>
      <c r="B76" s="161">
        <v>46259</v>
      </c>
      <c r="C76" s="101" t="s">
        <v>211</v>
      </c>
      <c r="D76" s="96">
        <v>-2714.82</v>
      </c>
      <c r="E76" s="96"/>
      <c r="F76" s="123"/>
    </row>
    <row r="77" spans="1:7" ht="24.6" thickTop="1" thickBot="1" x14ac:dyDescent="0.35">
      <c r="A77" s="163"/>
      <c r="B77" s="143"/>
      <c r="C77" s="10"/>
      <c r="D77" s="47"/>
      <c r="E77" s="47">
        <f>'August 2026'!C72</f>
        <v>171.16666666666666</v>
      </c>
      <c r="F77" s="107" t="s">
        <v>165</v>
      </c>
    </row>
    <row r="78" spans="1:7" ht="24.6" thickTop="1" thickBot="1" x14ac:dyDescent="0.35">
      <c r="A78" s="163"/>
      <c r="B78" s="143"/>
      <c r="C78" s="10"/>
      <c r="D78" s="47"/>
      <c r="E78" s="47">
        <f>'August 2026'!C62*(-1)</f>
        <v>0</v>
      </c>
      <c r="F78" s="107" t="s">
        <v>166</v>
      </c>
    </row>
    <row r="79" spans="1:7" ht="24.6" thickTop="1" thickBot="1" x14ac:dyDescent="0.35">
      <c r="A79" s="163"/>
      <c r="B79" s="145"/>
      <c r="C79" s="10"/>
      <c r="D79" s="53"/>
      <c r="E79" s="47">
        <v>-285.18</v>
      </c>
      <c r="F79" s="107" t="s">
        <v>213</v>
      </c>
      <c r="G79" s="139">
        <f>SUM(E77:E78)</f>
        <v>171.16666666666666</v>
      </c>
    </row>
    <row r="80" spans="1:7" ht="24.6" thickTop="1" thickBot="1" x14ac:dyDescent="0.35">
      <c r="A80" s="163"/>
      <c r="B80" s="144"/>
      <c r="C80" s="64"/>
      <c r="D80" s="48"/>
      <c r="E80" s="48"/>
      <c r="F80" s="117" t="s">
        <v>137</v>
      </c>
    </row>
    <row r="81" spans="1:7" ht="24.6" thickTop="1" thickBot="1" x14ac:dyDescent="0.35">
      <c r="A81" s="163" t="s">
        <v>19</v>
      </c>
      <c r="B81" s="146">
        <v>46266</v>
      </c>
      <c r="C81" s="42" t="s">
        <v>181</v>
      </c>
      <c r="D81" s="51">
        <f>'Days each month'!$C$24*'Days each month'!C16</f>
        <v>989.27397260273983</v>
      </c>
      <c r="E81" s="51"/>
      <c r="F81" s="122"/>
    </row>
    <row r="82" spans="1:7" ht="24.6" thickTop="1" thickBot="1" x14ac:dyDescent="0.35">
      <c r="A82" s="163"/>
      <c r="B82" s="151"/>
      <c r="C82" s="114"/>
      <c r="D82" s="93"/>
      <c r="E82" s="93"/>
      <c r="F82" s="123"/>
    </row>
    <row r="83" spans="1:7" ht="24.6" thickTop="1" thickBot="1" x14ac:dyDescent="0.35">
      <c r="A83" s="163"/>
      <c r="B83" s="147"/>
      <c r="C83" s="33"/>
      <c r="D83" s="49"/>
      <c r="E83" s="49">
        <f>'September 2026'!C75</f>
        <v>0</v>
      </c>
      <c r="F83" s="107" t="s">
        <v>167</v>
      </c>
    </row>
    <row r="84" spans="1:7" ht="24.6" thickTop="1" thickBot="1" x14ac:dyDescent="0.35">
      <c r="A84" s="163"/>
      <c r="B84" s="143"/>
      <c r="C84" s="33"/>
      <c r="D84" s="49"/>
      <c r="E84" s="49">
        <f>'September 2026'!C62*(-1)</f>
        <v>0</v>
      </c>
      <c r="F84" s="107" t="s">
        <v>168</v>
      </c>
    </row>
    <row r="85" spans="1:7" ht="24.6" thickTop="1" thickBot="1" x14ac:dyDescent="0.35">
      <c r="A85" s="163"/>
      <c r="B85" s="145"/>
      <c r="C85" s="54"/>
      <c r="D85" s="55"/>
      <c r="E85" s="49"/>
      <c r="F85" s="124"/>
      <c r="G85" s="139">
        <f>SUM(E83:E84)</f>
        <v>0</v>
      </c>
    </row>
    <row r="86" spans="1:7" ht="24.6" thickTop="1" thickBot="1" x14ac:dyDescent="0.35">
      <c r="A86" s="167"/>
      <c r="B86" s="144"/>
      <c r="C86" s="150"/>
      <c r="D86" s="50"/>
      <c r="E86" s="50"/>
      <c r="F86" s="117" t="s">
        <v>137</v>
      </c>
    </row>
    <row r="87" spans="1:7" ht="24.6" thickTop="1" thickBot="1" x14ac:dyDescent="0.35">
      <c r="A87" s="163" t="s">
        <v>8</v>
      </c>
      <c r="B87" s="141">
        <v>46296</v>
      </c>
      <c r="C87" s="36" t="s">
        <v>183</v>
      </c>
      <c r="D87" s="37">
        <f>'Days each month'!$C$24*'Days each month'!C17</f>
        <v>395.70958904109591</v>
      </c>
      <c r="E87" s="37"/>
      <c r="F87" s="122"/>
    </row>
    <row r="88" spans="1:7" ht="24.6" thickTop="1" thickBot="1" x14ac:dyDescent="0.35">
      <c r="A88" s="163"/>
      <c r="B88" s="147"/>
      <c r="C88" s="101"/>
      <c r="D88" s="96"/>
      <c r="E88" s="96"/>
      <c r="F88" s="123"/>
    </row>
    <row r="89" spans="1:7" ht="24.6" thickTop="1" thickBot="1" x14ac:dyDescent="0.35">
      <c r="A89" s="163"/>
      <c r="B89" s="143"/>
      <c r="C89" s="10"/>
      <c r="D89" s="47"/>
      <c r="E89" s="47">
        <f>'October 2026'!C73</f>
        <v>0</v>
      </c>
      <c r="F89" s="107" t="s">
        <v>169</v>
      </c>
    </row>
    <row r="90" spans="1:7" ht="24.6" thickTop="1" thickBot="1" x14ac:dyDescent="0.35">
      <c r="A90" s="163"/>
      <c r="B90" s="143"/>
      <c r="C90" s="10"/>
      <c r="D90" s="47"/>
      <c r="E90" s="47">
        <f>'October 2026'!C62*(-1)</f>
        <v>0</v>
      </c>
      <c r="F90" s="107" t="s">
        <v>170</v>
      </c>
    </row>
    <row r="91" spans="1:7" ht="24.6" thickTop="1" thickBot="1" x14ac:dyDescent="0.35">
      <c r="A91" s="163"/>
      <c r="B91" s="145"/>
      <c r="C91" s="22"/>
      <c r="D91" s="53"/>
      <c r="E91" s="47"/>
      <c r="F91" s="107"/>
    </row>
    <row r="92" spans="1:7" ht="24.6" thickTop="1" thickBot="1" x14ac:dyDescent="0.35">
      <c r="A92" s="163"/>
      <c r="B92" s="145"/>
      <c r="C92" s="10"/>
      <c r="D92" s="53"/>
      <c r="E92" s="47"/>
      <c r="F92" s="124"/>
      <c r="G92" s="139">
        <f>SUM(E89:E91)</f>
        <v>0</v>
      </c>
    </row>
    <row r="93" spans="1:7" ht="24.6" thickTop="1" thickBot="1" x14ac:dyDescent="0.35">
      <c r="A93" s="163"/>
      <c r="B93" s="144"/>
      <c r="C93" s="64"/>
      <c r="D93" s="48"/>
      <c r="E93" s="48"/>
      <c r="F93" s="117" t="s">
        <v>137</v>
      </c>
    </row>
    <row r="94" spans="1:7" ht="24" thickTop="1" x14ac:dyDescent="0.3">
      <c r="D94" s="52"/>
    </row>
    <row r="95" spans="1:7" x14ac:dyDescent="0.3">
      <c r="D95" s="52"/>
    </row>
    <row r="96" spans="1:7" x14ac:dyDescent="0.3">
      <c r="D96" s="52"/>
    </row>
    <row r="97" spans="1:5" ht="24" thickBot="1" x14ac:dyDescent="0.35">
      <c r="D97" s="52"/>
    </row>
    <row r="98" spans="1:5" ht="48" thickTop="1" thickBot="1" x14ac:dyDescent="0.35">
      <c r="A98" s="99" t="s">
        <v>212</v>
      </c>
      <c r="B98" s="100">
        <v>45944</v>
      </c>
      <c r="D98" s="70" t="s">
        <v>20</v>
      </c>
      <c r="E98" s="71" t="s">
        <v>21</v>
      </c>
    </row>
    <row r="99" spans="1:5" ht="24.6" thickTop="1" thickBot="1" x14ac:dyDescent="0.5">
      <c r="A99" s="99" t="s">
        <v>70</v>
      </c>
      <c r="B99" s="100">
        <v>46308</v>
      </c>
      <c r="C99" s="6"/>
      <c r="D99" s="70">
        <f>SUM(D5:D95)</f>
        <v>-2014.0853652968021</v>
      </c>
      <c r="E99" s="70">
        <f>SUM(E6:E95)</f>
        <v>0</v>
      </c>
    </row>
    <row r="100" spans="1:5" ht="24" thickTop="1" x14ac:dyDescent="0.3">
      <c r="C100" s="52"/>
    </row>
    <row r="101" spans="1:5" x14ac:dyDescent="0.3">
      <c r="C101" s="52"/>
    </row>
    <row r="102" spans="1:5" x14ac:dyDescent="0.3">
      <c r="C102" s="52"/>
    </row>
  </sheetData>
  <mergeCells count="14">
    <mergeCell ref="A87:A93"/>
    <mergeCell ref="B1:F1"/>
    <mergeCell ref="A5:A11"/>
    <mergeCell ref="A12:A19"/>
    <mergeCell ref="A20:A24"/>
    <mergeCell ref="A25:A30"/>
    <mergeCell ref="A69:A74"/>
    <mergeCell ref="A75:A80"/>
    <mergeCell ref="A81:A86"/>
    <mergeCell ref="A31:A36"/>
    <mergeCell ref="A37:A44"/>
    <mergeCell ref="A45:A52"/>
    <mergeCell ref="A53:A61"/>
    <mergeCell ref="A62:A68"/>
  </mergeCells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0957-6AB1-48CE-A8AA-AD0BAD42C73C}">
  <dimension ref="A1:I54"/>
  <sheetViews>
    <sheetView topLeftCell="B26" zoomScale="85" zoomScaleNormal="85" workbookViewId="0">
      <selection activeCell="C24" sqref="C24"/>
    </sheetView>
  </sheetViews>
  <sheetFormatPr defaultColWidth="9.109375" defaultRowHeight="23.4" x14ac:dyDescent="0.3"/>
  <cols>
    <col min="1" max="1" width="11.109375" style="1" bestFit="1" customWidth="1"/>
    <col min="2" max="2" width="28.21875" style="1" bestFit="1" customWidth="1"/>
    <col min="3" max="3" width="65.21875" style="4" bestFit="1" customWidth="1"/>
    <col min="4" max="4" width="31.109375" style="4" bestFit="1" customWidth="1"/>
    <col min="5" max="5" width="34.33203125" style="29" bestFit="1" customWidth="1"/>
    <col min="6" max="6" width="45.88671875" style="1" bestFit="1" customWidth="1"/>
    <col min="7" max="7" width="19.33203125" style="1" bestFit="1" customWidth="1"/>
    <col min="8" max="8" width="9.109375" style="1"/>
    <col min="9" max="9" width="20.44140625" style="1" bestFit="1" customWidth="1"/>
    <col min="10" max="10" width="16.44140625" style="1" bestFit="1" customWidth="1"/>
    <col min="11" max="11" width="16.21875" style="1" bestFit="1" customWidth="1"/>
    <col min="12" max="16384" width="9.109375" style="1"/>
  </cols>
  <sheetData>
    <row r="1" spans="1:9" x14ac:dyDescent="0.3">
      <c r="B1" s="168" t="s">
        <v>118</v>
      </c>
      <c r="C1" s="164"/>
      <c r="D1" s="164"/>
      <c r="E1" s="164"/>
      <c r="F1" s="164"/>
    </row>
    <row r="3" spans="1:9" x14ac:dyDescent="0.3">
      <c r="A3" s="74" t="s">
        <v>1</v>
      </c>
      <c r="B3" s="67" t="s">
        <v>2</v>
      </c>
      <c r="C3" s="5" t="s">
        <v>3</v>
      </c>
      <c r="D3" s="5" t="s">
        <v>174</v>
      </c>
      <c r="E3" s="68" t="s">
        <v>5</v>
      </c>
      <c r="F3" s="107" t="s">
        <v>6</v>
      </c>
      <c r="G3" s="152" t="s">
        <v>66</v>
      </c>
    </row>
    <row r="4" spans="1:9" ht="24" thickBot="1" x14ac:dyDescent="0.35">
      <c r="A4" s="57"/>
      <c r="B4" s="57"/>
      <c r="C4" s="35"/>
      <c r="D4" s="46"/>
      <c r="E4" s="56"/>
      <c r="F4" s="108"/>
    </row>
    <row r="5" spans="1:9" ht="24.6" thickTop="1" thickBot="1" x14ac:dyDescent="0.35">
      <c r="A5" s="163" t="s">
        <v>15</v>
      </c>
      <c r="B5" s="76">
        <v>46144</v>
      </c>
      <c r="C5" s="33" t="s">
        <v>181</v>
      </c>
      <c r="D5" s="51">
        <f>'Days each month'!$C$25*30</f>
        <v>741.95547945205487</v>
      </c>
      <c r="E5" s="44"/>
      <c r="F5" s="111"/>
      <c r="I5" s="34"/>
    </row>
    <row r="6" spans="1:9" ht="24.6" thickTop="1" thickBot="1" x14ac:dyDescent="0.35">
      <c r="A6" s="163"/>
      <c r="B6" s="77">
        <v>46172</v>
      </c>
      <c r="C6" s="33" t="s">
        <v>141</v>
      </c>
      <c r="D6" s="49">
        <v>-741.96</v>
      </c>
      <c r="E6" s="94"/>
      <c r="F6" s="109"/>
      <c r="I6" s="34"/>
    </row>
    <row r="7" spans="1:9" ht="24.6" thickTop="1" thickBot="1" x14ac:dyDescent="0.35">
      <c r="A7" s="163"/>
      <c r="B7" s="77"/>
      <c r="C7" s="33"/>
      <c r="D7" s="49"/>
      <c r="E7" s="40">
        <f>'May 2026'!C99</f>
        <v>96.914999999999992</v>
      </c>
      <c r="F7" s="107" t="s">
        <v>159</v>
      </c>
    </row>
    <row r="8" spans="1:9" ht="24.6" thickTop="1" thickBot="1" x14ac:dyDescent="0.35">
      <c r="A8" s="163"/>
      <c r="B8" s="77"/>
      <c r="C8" s="33"/>
      <c r="D8" s="49"/>
      <c r="E8" s="40">
        <f>'May 2026'!C92*(-1)</f>
        <v>-15</v>
      </c>
      <c r="F8" s="107" t="s">
        <v>160</v>
      </c>
    </row>
    <row r="9" spans="1:9" ht="24.6" thickTop="1" thickBot="1" x14ac:dyDescent="0.35">
      <c r="A9" s="163"/>
      <c r="B9" s="79"/>
      <c r="C9" s="54"/>
      <c r="D9" s="55"/>
      <c r="E9" s="40">
        <v>-81.92</v>
      </c>
      <c r="F9" s="107" t="s">
        <v>175</v>
      </c>
    </row>
    <row r="10" spans="1:9" ht="24.6" thickTop="1" thickBot="1" x14ac:dyDescent="0.35">
      <c r="A10" s="163"/>
      <c r="B10" s="79"/>
      <c r="C10" s="33"/>
      <c r="D10" s="55"/>
      <c r="E10" s="40"/>
      <c r="F10" s="110"/>
      <c r="G10" s="105">
        <f>SUM(E7:E9)</f>
        <v>-5.0000000000096634E-3</v>
      </c>
    </row>
    <row r="11" spans="1:9" ht="24.6" thickTop="1" thickBot="1" x14ac:dyDescent="0.35">
      <c r="A11" s="163"/>
      <c r="B11" s="78"/>
      <c r="C11" s="66"/>
      <c r="D11" s="50"/>
      <c r="E11" s="41"/>
      <c r="F11" s="109" t="s">
        <v>124</v>
      </c>
    </row>
    <row r="12" spans="1:9" ht="24.6" thickTop="1" thickBot="1" x14ac:dyDescent="0.35">
      <c r="A12" s="163" t="s">
        <v>16</v>
      </c>
      <c r="B12" s="76">
        <v>46174</v>
      </c>
      <c r="C12" s="36" t="s">
        <v>181</v>
      </c>
      <c r="D12" s="37">
        <f>'Days each month'!$C$25*'Days each month'!C13</f>
        <v>741.95547945205487</v>
      </c>
      <c r="E12" s="37"/>
      <c r="F12" s="113"/>
    </row>
    <row r="13" spans="1:9" ht="24.6" thickTop="1" thickBot="1" x14ac:dyDescent="0.35">
      <c r="A13" s="163"/>
      <c r="B13" s="87"/>
      <c r="C13" s="10" t="s">
        <v>141</v>
      </c>
      <c r="D13" s="47">
        <v>-741.96</v>
      </c>
      <c r="E13" s="96"/>
      <c r="F13" s="113"/>
    </row>
    <row r="14" spans="1:9" ht="24.6" thickTop="1" thickBot="1" x14ac:dyDescent="0.35">
      <c r="A14" s="163"/>
      <c r="B14" s="77"/>
      <c r="C14" s="10"/>
      <c r="D14" s="47"/>
      <c r="E14" s="25">
        <f>'June 2026'!C98</f>
        <v>123.41500000000001</v>
      </c>
      <c r="F14" s="107" t="s">
        <v>161</v>
      </c>
    </row>
    <row r="15" spans="1:9" ht="24.6" thickTop="1" thickBot="1" x14ac:dyDescent="0.35">
      <c r="A15" s="163"/>
      <c r="B15" s="77"/>
      <c r="C15" s="10"/>
      <c r="D15" s="47"/>
      <c r="E15" s="25">
        <f>'June 2026'!C92*(-1)</f>
        <v>-68</v>
      </c>
      <c r="F15" s="107" t="s">
        <v>162</v>
      </c>
    </row>
    <row r="16" spans="1:9" ht="24.6" thickTop="1" thickBot="1" x14ac:dyDescent="0.35">
      <c r="A16" s="163"/>
      <c r="B16" s="79"/>
      <c r="C16" s="22"/>
      <c r="D16" s="53"/>
      <c r="E16" s="25">
        <v>-55.42</v>
      </c>
      <c r="F16" s="107" t="s">
        <v>175</v>
      </c>
    </row>
    <row r="17" spans="1:7" ht="24.6" thickTop="1" thickBot="1" x14ac:dyDescent="0.35">
      <c r="A17" s="163"/>
      <c r="B17" s="79"/>
      <c r="C17" s="22"/>
      <c r="D17" s="53"/>
      <c r="E17" s="25"/>
      <c r="F17" s="110"/>
      <c r="G17" s="105">
        <f>SUM(E14:E16)</f>
        <v>-4.9999999999954525E-3</v>
      </c>
    </row>
    <row r="18" spans="1:7" ht="24.6" thickTop="1" thickBot="1" x14ac:dyDescent="0.35">
      <c r="A18" s="163"/>
      <c r="B18" s="79"/>
      <c r="C18" s="63"/>
      <c r="D18" s="53"/>
      <c r="E18" s="30"/>
      <c r="F18" s="112"/>
    </row>
    <row r="19" spans="1:7" ht="24.6" thickTop="1" thickBot="1" x14ac:dyDescent="0.35">
      <c r="A19" s="163"/>
      <c r="B19" s="78"/>
      <c r="C19" s="64"/>
      <c r="D19" s="48"/>
      <c r="E19" s="38"/>
      <c r="F19" s="106" t="s">
        <v>124</v>
      </c>
    </row>
    <row r="20" spans="1:7" ht="24.6" thickTop="1" thickBot="1" x14ac:dyDescent="0.35">
      <c r="A20" s="163" t="s">
        <v>17</v>
      </c>
      <c r="B20" s="76">
        <v>46204</v>
      </c>
      <c r="C20" s="42" t="s">
        <v>186</v>
      </c>
      <c r="D20" s="51">
        <f>'Days each month'!$C$25*19</f>
        <v>469.90513698630139</v>
      </c>
      <c r="E20" s="44"/>
      <c r="F20" s="111"/>
    </row>
    <row r="21" spans="1:7" ht="24.6" thickTop="1" thickBot="1" x14ac:dyDescent="0.35">
      <c r="A21" s="163"/>
      <c r="B21" s="77"/>
      <c r="C21" s="33" t="s">
        <v>141</v>
      </c>
      <c r="D21" s="93">
        <v>-469.9</v>
      </c>
      <c r="E21" s="40">
        <f>'July 2026'!C99</f>
        <v>114.015</v>
      </c>
      <c r="F21" s="107" t="s">
        <v>163</v>
      </c>
    </row>
    <row r="22" spans="1:7" ht="24.6" thickTop="1" thickBot="1" x14ac:dyDescent="0.35">
      <c r="A22" s="163"/>
      <c r="B22" s="77"/>
      <c r="C22" s="33"/>
      <c r="D22" s="49"/>
      <c r="E22" s="40">
        <f>'July 2026'!C93*(-1)</f>
        <v>0</v>
      </c>
      <c r="F22" s="107" t="s">
        <v>164</v>
      </c>
    </row>
    <row r="23" spans="1:7" ht="24.6" thickTop="1" thickBot="1" x14ac:dyDescent="0.35">
      <c r="A23" s="163"/>
      <c r="B23" s="79"/>
      <c r="C23" s="54"/>
      <c r="D23" s="55"/>
      <c r="E23" s="40">
        <v>-114.01</v>
      </c>
      <c r="F23" s="107"/>
    </row>
    <row r="24" spans="1:7" ht="24.6" thickTop="1" thickBot="1" x14ac:dyDescent="0.35">
      <c r="A24" s="163"/>
      <c r="B24" s="79"/>
      <c r="C24" s="54"/>
      <c r="D24" s="55"/>
      <c r="E24" s="40"/>
      <c r="F24" s="109"/>
    </row>
    <row r="25" spans="1:7" ht="24.6" thickTop="1" thickBot="1" x14ac:dyDescent="0.35">
      <c r="A25" s="163"/>
      <c r="B25" s="79"/>
      <c r="C25" s="33"/>
      <c r="D25" s="55"/>
      <c r="E25" s="40"/>
      <c r="F25" s="110"/>
      <c r="G25" s="105">
        <f>SUM(E21:E24)</f>
        <v>4.9999999999954525E-3</v>
      </c>
    </row>
    <row r="26" spans="1:7" ht="24.6" thickTop="1" thickBot="1" x14ac:dyDescent="0.35">
      <c r="A26" s="163"/>
      <c r="B26" s="78"/>
      <c r="C26" s="66"/>
      <c r="D26" s="50"/>
      <c r="E26" s="41"/>
      <c r="F26" s="106" t="s">
        <v>124</v>
      </c>
    </row>
    <row r="27" spans="1:7" ht="24" thickTop="1" x14ac:dyDescent="0.3">
      <c r="D27" s="52"/>
    </row>
    <row r="28" spans="1:7" x14ac:dyDescent="0.3">
      <c r="D28" s="52"/>
    </row>
    <row r="29" spans="1:7" x14ac:dyDescent="0.3">
      <c r="D29" s="52"/>
    </row>
    <row r="30" spans="1:7" x14ac:dyDescent="0.3">
      <c r="D30" s="52"/>
    </row>
    <row r="31" spans="1:7" x14ac:dyDescent="0.3">
      <c r="D31" s="52"/>
    </row>
    <row r="32" spans="1:7" x14ac:dyDescent="0.3">
      <c r="D32" s="52"/>
    </row>
    <row r="33" spans="2:5" ht="24" thickBot="1" x14ac:dyDescent="0.35">
      <c r="B33" s="34"/>
      <c r="D33" s="52"/>
    </row>
    <row r="34" spans="2:5" ht="24.6" thickTop="1" thickBot="1" x14ac:dyDescent="0.35">
      <c r="B34" s="99" t="s">
        <v>70</v>
      </c>
      <c r="D34" s="52"/>
    </row>
    <row r="35" spans="2:5" ht="24.6" thickTop="1" thickBot="1" x14ac:dyDescent="0.35">
      <c r="B35" s="100">
        <v>46308</v>
      </c>
      <c r="D35" s="52"/>
    </row>
    <row r="36" spans="2:5" ht="48" thickTop="1" thickBot="1" x14ac:dyDescent="0.35">
      <c r="D36" s="70" t="s">
        <v>20</v>
      </c>
      <c r="E36" s="71" t="s">
        <v>21</v>
      </c>
    </row>
    <row r="37" spans="2:5" ht="24.6" thickTop="1" thickBot="1" x14ac:dyDescent="0.5">
      <c r="C37" s="6"/>
      <c r="D37" s="70">
        <f>SUM(D5:D28)</f>
        <v>-3.9041095889160715E-3</v>
      </c>
      <c r="E37" s="70">
        <f>SUM(E5:E29)</f>
        <v>-5.0000000000096634E-3</v>
      </c>
    </row>
    <row r="54" spans="4:4" x14ac:dyDescent="0.3">
      <c r="D54" s="92"/>
    </row>
  </sheetData>
  <mergeCells count="4">
    <mergeCell ref="B1:F1"/>
    <mergeCell ref="A5:A11"/>
    <mergeCell ref="A12:A19"/>
    <mergeCell ref="A20:A26"/>
  </mergeCells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D63B-B7B9-4112-9395-556E1EE0AD28}">
  <dimension ref="A1:D34"/>
  <sheetViews>
    <sheetView topLeftCell="B4" workbookViewId="0">
      <selection activeCell="G12" sqref="G12"/>
    </sheetView>
  </sheetViews>
  <sheetFormatPr defaultRowHeight="14.4" x14ac:dyDescent="0.3"/>
  <cols>
    <col min="1" max="1" width="33.77734375" bestFit="1" customWidth="1"/>
    <col min="2" max="2" width="75.5546875" bestFit="1" customWidth="1"/>
    <col min="3" max="3" width="14.21875" style="26" bestFit="1" customWidth="1"/>
    <col min="4" max="4" width="29.21875" bestFit="1" customWidth="1"/>
    <col min="10" max="10" width="24.44140625" customWidth="1"/>
  </cols>
  <sheetData>
    <row r="1" spans="1:4" ht="23.4" x14ac:dyDescent="0.3">
      <c r="A1" s="11" t="s">
        <v>22</v>
      </c>
      <c r="B1" s="32"/>
      <c r="C1" s="29"/>
      <c r="D1" s="1"/>
    </row>
    <row r="2" spans="1:4" ht="23.4" x14ac:dyDescent="0.3">
      <c r="A2" s="9"/>
      <c r="B2" s="4"/>
      <c r="C2" s="29"/>
      <c r="D2" s="1"/>
    </row>
    <row r="3" spans="1:4" ht="23.4" x14ac:dyDescent="0.3">
      <c r="A3" s="8" t="s">
        <v>23</v>
      </c>
    </row>
    <row r="4" spans="1:4" ht="23.4" x14ac:dyDescent="0.3">
      <c r="A4" s="3" t="s">
        <v>2</v>
      </c>
      <c r="B4" s="5" t="s">
        <v>3</v>
      </c>
      <c r="C4" s="24" t="s">
        <v>4</v>
      </c>
      <c r="D4" s="2" t="s">
        <v>24</v>
      </c>
    </row>
    <row r="5" spans="1:4" ht="23.4" x14ac:dyDescent="0.3">
      <c r="A5" s="3"/>
      <c r="B5" s="10"/>
      <c r="C5" s="25"/>
      <c r="D5" s="2"/>
    </row>
    <row r="6" spans="1:4" ht="46.8" x14ac:dyDescent="0.3">
      <c r="A6" s="3">
        <v>45943</v>
      </c>
      <c r="B6" s="43" t="s">
        <v>25</v>
      </c>
      <c r="C6" s="25">
        <v>30700</v>
      </c>
      <c r="D6" s="2" t="s">
        <v>138</v>
      </c>
    </row>
    <row r="7" spans="1:4" ht="23.4" x14ac:dyDescent="0.3">
      <c r="A7" s="3">
        <v>45943</v>
      </c>
      <c r="B7" s="10" t="s">
        <v>26</v>
      </c>
      <c r="C7" s="25">
        <v>2500</v>
      </c>
      <c r="D7" s="2" t="s">
        <v>138</v>
      </c>
    </row>
    <row r="8" spans="1:4" ht="23.4" x14ac:dyDescent="0.3">
      <c r="A8" s="3">
        <v>45950</v>
      </c>
      <c r="B8" s="10" t="s">
        <v>53</v>
      </c>
      <c r="C8" s="25">
        <v>1408.5</v>
      </c>
      <c r="D8" s="2" t="s">
        <v>138</v>
      </c>
    </row>
    <row r="9" spans="1:4" ht="23.4" x14ac:dyDescent="0.3">
      <c r="A9" s="3">
        <v>45951</v>
      </c>
      <c r="B9" s="10" t="s">
        <v>54</v>
      </c>
      <c r="C9" s="25">
        <v>1500</v>
      </c>
      <c r="D9" s="2" t="s">
        <v>138</v>
      </c>
    </row>
    <row r="10" spans="1:4" ht="23.4" x14ac:dyDescent="0.3">
      <c r="A10" s="3"/>
      <c r="B10" s="10"/>
      <c r="C10" s="25"/>
      <c r="D10" s="2"/>
    </row>
    <row r="11" spans="1:4" ht="23.4" x14ac:dyDescent="0.3">
      <c r="A11" s="3"/>
      <c r="B11" s="5"/>
      <c r="C11" s="24"/>
      <c r="D11" s="2"/>
    </row>
    <row r="12" spans="1:4" ht="23.4" x14ac:dyDescent="0.3">
      <c r="A12" s="3"/>
      <c r="B12" s="5"/>
      <c r="C12" s="24"/>
      <c r="D12" s="2"/>
    </row>
    <row r="13" spans="1:4" ht="23.4" x14ac:dyDescent="0.3">
      <c r="B13" s="10" t="s">
        <v>55</v>
      </c>
      <c r="C13" s="25">
        <f>SUM(C5:C12)</f>
        <v>36108.5</v>
      </c>
      <c r="D13" s="2"/>
    </row>
    <row r="15" spans="1:4" ht="23.4" x14ac:dyDescent="0.3">
      <c r="B15" s="10" t="s">
        <v>56</v>
      </c>
      <c r="C15" s="25">
        <f>C13/12</f>
        <v>3009.0416666666665</v>
      </c>
    </row>
    <row r="16" spans="1:4" ht="23.4" x14ac:dyDescent="0.3">
      <c r="B16" s="10" t="s">
        <v>110</v>
      </c>
      <c r="C16" s="25">
        <f>C13/365</f>
        <v>98.927397260273978</v>
      </c>
    </row>
    <row r="17" spans="2:3" ht="23.4" x14ac:dyDescent="0.3">
      <c r="B17" s="10" t="s">
        <v>109</v>
      </c>
      <c r="C17" s="81">
        <f>C16/3</f>
        <v>32.975799086757995</v>
      </c>
    </row>
    <row r="18" spans="2:3" ht="23.4" x14ac:dyDescent="0.3">
      <c r="B18" s="10" t="s">
        <v>111</v>
      </c>
      <c r="C18" s="81">
        <f>C16/4</f>
        <v>24.731849315068494</v>
      </c>
    </row>
    <row r="19" spans="2:3" ht="23.4" x14ac:dyDescent="0.3">
      <c r="B19" s="10" t="s">
        <v>57</v>
      </c>
      <c r="C19" s="27">
        <f>C15/3</f>
        <v>1003.0138888888888</v>
      </c>
    </row>
    <row r="27" spans="2:3" ht="23.4" x14ac:dyDescent="0.3">
      <c r="B27" s="23" t="s">
        <v>28</v>
      </c>
      <c r="C27" s="27">
        <f>C13/3</f>
        <v>12036.166666666666</v>
      </c>
    </row>
    <row r="34" spans="2:2" x14ac:dyDescent="0.3">
      <c r="B34" s="8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EE51-65A2-4848-9CF3-6DBDAC365667}">
  <dimension ref="B4:J50"/>
  <sheetViews>
    <sheetView topLeftCell="C37" zoomScaleNormal="60" zoomScaleSheetLayoutView="100" workbookViewId="0">
      <selection activeCell="F48" sqref="F48"/>
    </sheetView>
  </sheetViews>
  <sheetFormatPr defaultColWidth="8.77734375" defaultRowHeight="25.8" x14ac:dyDescent="0.3"/>
  <cols>
    <col min="1" max="1" width="8.77734375" style="83"/>
    <col min="2" max="2" width="56.6640625" style="83" bestFit="1" customWidth="1"/>
    <col min="3" max="3" width="13" style="83" bestFit="1" customWidth="1"/>
    <col min="4" max="4" width="47.5546875" style="83" bestFit="1" customWidth="1"/>
    <col min="5" max="5" width="25.109375" style="83" bestFit="1" customWidth="1"/>
    <col min="6" max="6" width="13.88671875" style="83" bestFit="1" customWidth="1"/>
    <col min="7" max="7" width="19.21875" style="83" bestFit="1" customWidth="1"/>
    <col min="8" max="8" width="35.21875" style="83" bestFit="1" customWidth="1"/>
    <col min="9" max="9" width="5.21875" style="83" bestFit="1" customWidth="1"/>
    <col min="10" max="10" width="11.77734375" style="83" bestFit="1" customWidth="1"/>
    <col min="11" max="16384" width="8.77734375" style="83"/>
  </cols>
  <sheetData>
    <row r="4" spans="2:10" x14ac:dyDescent="0.3">
      <c r="B4" s="82" t="s">
        <v>112</v>
      </c>
      <c r="C4" s="82" t="s">
        <v>113</v>
      </c>
      <c r="D4" s="82" t="s">
        <v>191</v>
      </c>
    </row>
    <row r="5" spans="2:10" x14ac:dyDescent="0.3">
      <c r="B5" s="84">
        <v>45931</v>
      </c>
      <c r="C5" s="82">
        <v>19</v>
      </c>
      <c r="D5" s="85">
        <f>$C$24*C5</f>
        <v>626.54018264840192</v>
      </c>
    </row>
    <row r="6" spans="2:10" x14ac:dyDescent="0.3">
      <c r="B6" s="84">
        <v>45962</v>
      </c>
      <c r="C6" s="82">
        <v>30</v>
      </c>
      <c r="D6" s="85">
        <f t="shared" ref="D6:D21" si="0">$C$24*C6</f>
        <v>989.27397260273983</v>
      </c>
    </row>
    <row r="7" spans="2:10" x14ac:dyDescent="0.3">
      <c r="B7" s="84">
        <v>45992</v>
      </c>
      <c r="C7" s="82">
        <v>31</v>
      </c>
      <c r="D7" s="85">
        <f t="shared" si="0"/>
        <v>1022.2497716894978</v>
      </c>
    </row>
    <row r="8" spans="2:10" x14ac:dyDescent="0.3">
      <c r="B8" s="84">
        <v>46023</v>
      </c>
      <c r="C8" s="82">
        <v>31</v>
      </c>
      <c r="D8" s="85">
        <f t="shared" si="0"/>
        <v>1022.2497716894978</v>
      </c>
    </row>
    <row r="9" spans="2:10" x14ac:dyDescent="0.3">
      <c r="B9" s="84">
        <v>46054</v>
      </c>
      <c r="C9" s="82">
        <v>28</v>
      </c>
      <c r="D9" s="85">
        <f t="shared" si="0"/>
        <v>923.32237442922383</v>
      </c>
    </row>
    <row r="10" spans="2:10" x14ac:dyDescent="0.3">
      <c r="B10" s="84">
        <v>46082</v>
      </c>
      <c r="C10" s="82">
        <v>31</v>
      </c>
      <c r="D10" s="85">
        <f t="shared" si="0"/>
        <v>1022.2497716894978</v>
      </c>
      <c r="H10" s="91" t="s">
        <v>119</v>
      </c>
    </row>
    <row r="11" spans="2:10" x14ac:dyDescent="0.3">
      <c r="B11" s="88">
        <v>46113</v>
      </c>
      <c r="C11" s="89">
        <v>30</v>
      </c>
      <c r="D11" s="90">
        <f t="shared" si="0"/>
        <v>989.27397260273983</v>
      </c>
      <c r="H11" s="91" t="s">
        <v>120</v>
      </c>
      <c r="I11" s="89">
        <v>24</v>
      </c>
      <c r="J11" s="90">
        <f>I11*C24</f>
        <v>791.41917808219182</v>
      </c>
    </row>
    <row r="12" spans="2:10" x14ac:dyDescent="0.3">
      <c r="B12" s="84">
        <v>46143</v>
      </c>
      <c r="C12" s="82">
        <v>31</v>
      </c>
      <c r="D12" s="85">
        <f t="shared" si="0"/>
        <v>1022.2497716894978</v>
      </c>
      <c r="H12" s="91" t="s">
        <v>121</v>
      </c>
      <c r="I12" s="89">
        <v>6</v>
      </c>
      <c r="J12" s="90">
        <f>I12*C25</f>
        <v>148.39109589041095</v>
      </c>
    </row>
    <row r="13" spans="2:10" x14ac:dyDescent="0.3">
      <c r="B13" s="84">
        <v>46174</v>
      </c>
      <c r="C13" s="82">
        <v>30</v>
      </c>
      <c r="D13" s="85">
        <f t="shared" si="0"/>
        <v>989.27397260273983</v>
      </c>
    </row>
    <row r="14" spans="2:10" x14ac:dyDescent="0.3">
      <c r="B14" s="88">
        <v>46204</v>
      </c>
      <c r="C14" s="89">
        <v>31</v>
      </c>
      <c r="D14" s="90">
        <f t="shared" si="0"/>
        <v>1022.2497716894978</v>
      </c>
    </row>
    <row r="15" spans="2:10" x14ac:dyDescent="0.3">
      <c r="B15" s="84">
        <v>46235</v>
      </c>
      <c r="C15" s="82">
        <v>31</v>
      </c>
      <c r="D15" s="85">
        <f t="shared" si="0"/>
        <v>1022.2497716894978</v>
      </c>
    </row>
    <row r="16" spans="2:10" x14ac:dyDescent="0.3">
      <c r="B16" s="84">
        <v>46266</v>
      </c>
      <c r="C16" s="82">
        <v>30</v>
      </c>
      <c r="D16" s="85">
        <f t="shared" si="0"/>
        <v>989.27397260273983</v>
      </c>
      <c r="H16" s="91" t="s">
        <v>187</v>
      </c>
    </row>
    <row r="17" spans="2:10" x14ac:dyDescent="0.3">
      <c r="B17" s="84">
        <v>46296</v>
      </c>
      <c r="C17" s="82">
        <v>12</v>
      </c>
      <c r="D17" s="85">
        <f t="shared" si="0"/>
        <v>395.70958904109591</v>
      </c>
      <c r="H17" s="91" t="s">
        <v>189</v>
      </c>
      <c r="I17" s="89">
        <v>12</v>
      </c>
      <c r="J17" s="90">
        <f>I17*C30</f>
        <v>0</v>
      </c>
    </row>
    <row r="18" spans="2:10" x14ac:dyDescent="0.3">
      <c r="B18" s="82"/>
      <c r="C18" s="82"/>
      <c r="D18" s="85">
        <f t="shared" si="0"/>
        <v>0</v>
      </c>
      <c r="H18" s="91" t="s">
        <v>188</v>
      </c>
      <c r="I18" s="89">
        <v>19</v>
      </c>
      <c r="J18" s="90">
        <f>I18*C31</f>
        <v>0</v>
      </c>
    </row>
    <row r="19" spans="2:10" x14ac:dyDescent="0.3">
      <c r="B19" s="82"/>
      <c r="C19" s="82"/>
      <c r="D19" s="85">
        <f t="shared" si="0"/>
        <v>0</v>
      </c>
    </row>
    <row r="20" spans="2:10" x14ac:dyDescent="0.3">
      <c r="B20" s="82"/>
      <c r="C20" s="82"/>
      <c r="D20" s="85">
        <f t="shared" si="0"/>
        <v>0</v>
      </c>
    </row>
    <row r="21" spans="2:10" x14ac:dyDescent="0.3">
      <c r="B21" s="82" t="s">
        <v>27</v>
      </c>
      <c r="C21" s="82">
        <f>SUM(C5:C18)</f>
        <v>365</v>
      </c>
      <c r="D21" s="85">
        <f t="shared" si="0"/>
        <v>12036.166666666668</v>
      </c>
    </row>
    <row r="23" spans="2:10" x14ac:dyDescent="0.3">
      <c r="E23" s="86">
        <f>D21*3</f>
        <v>36108.5</v>
      </c>
      <c r="F23" s="86"/>
    </row>
    <row r="24" spans="2:10" x14ac:dyDescent="0.3">
      <c r="B24" s="10" t="s">
        <v>109</v>
      </c>
      <c r="C24" s="81">
        <f>'Main Expenses (Fixed)'!C17</f>
        <v>32.975799086757995</v>
      </c>
    </row>
    <row r="25" spans="2:10" x14ac:dyDescent="0.3">
      <c r="B25" s="10" t="s">
        <v>111</v>
      </c>
      <c r="C25" s="81">
        <f>'Main Expenses (Fixed)'!C18</f>
        <v>24.731849315068494</v>
      </c>
    </row>
    <row r="26" spans="2:10" x14ac:dyDescent="0.3">
      <c r="B26" s="10" t="s">
        <v>122</v>
      </c>
      <c r="C26" s="25">
        <f>'Main Expenses (Fixed)'!C16</f>
        <v>98.927397260273978</v>
      </c>
    </row>
    <row r="30" spans="2:10" x14ac:dyDescent="0.3">
      <c r="D30" s="5" t="s">
        <v>193</v>
      </c>
      <c r="E30" s="5" t="s">
        <v>136</v>
      </c>
      <c r="F30" s="5" t="s">
        <v>192</v>
      </c>
      <c r="G30" s="5" t="s">
        <v>206</v>
      </c>
      <c r="H30" s="5" t="s">
        <v>124</v>
      </c>
      <c r="I30" s="4"/>
    </row>
    <row r="31" spans="2:10" x14ac:dyDescent="0.3">
      <c r="D31" s="5" t="s">
        <v>194</v>
      </c>
      <c r="E31" s="68">
        <v>626.54018264840192</v>
      </c>
      <c r="F31" s="68">
        <v>626.54018264840192</v>
      </c>
      <c r="G31" s="68">
        <v>626.54018264840192</v>
      </c>
      <c r="H31" s="5">
        <v>0</v>
      </c>
      <c r="I31" s="4"/>
    </row>
    <row r="32" spans="2:10" x14ac:dyDescent="0.3">
      <c r="D32" s="5" t="s">
        <v>195</v>
      </c>
      <c r="E32" s="68">
        <v>989.27397260273983</v>
      </c>
      <c r="F32" s="68">
        <v>989.27397260273983</v>
      </c>
      <c r="G32" s="68">
        <v>989.27397260273983</v>
      </c>
      <c r="H32" s="5">
        <v>0</v>
      </c>
      <c r="I32" s="4"/>
    </row>
    <row r="33" spans="4:9" x14ac:dyDescent="0.3">
      <c r="D33" s="5" t="s">
        <v>196</v>
      </c>
      <c r="E33" s="68">
        <v>1022.2497716894978</v>
      </c>
      <c r="F33" s="68">
        <v>1022.2497716894978</v>
      </c>
      <c r="G33" s="68">
        <v>1022.2497716894978</v>
      </c>
      <c r="H33" s="5">
        <v>0</v>
      </c>
      <c r="I33" s="4"/>
    </row>
    <row r="34" spans="4:9" x14ac:dyDescent="0.3">
      <c r="D34" s="5" t="s">
        <v>197</v>
      </c>
      <c r="E34" s="68">
        <v>1022.2497716894978</v>
      </c>
      <c r="F34" s="68">
        <v>1022.2497716894978</v>
      </c>
      <c r="G34" s="68">
        <v>1022.2497716894978</v>
      </c>
      <c r="H34" s="5">
        <v>0</v>
      </c>
      <c r="I34" s="4"/>
    </row>
    <row r="35" spans="4:9" x14ac:dyDescent="0.3">
      <c r="D35" s="5" t="s">
        <v>198</v>
      </c>
      <c r="E35" s="68">
        <v>923.32237442922383</v>
      </c>
      <c r="F35" s="68">
        <v>923.32237442922383</v>
      </c>
      <c r="G35" s="68">
        <v>923.32237442922383</v>
      </c>
      <c r="H35" s="5">
        <v>0</v>
      </c>
      <c r="I35" s="4"/>
    </row>
    <row r="36" spans="4:9" x14ac:dyDescent="0.3">
      <c r="D36" s="5" t="s">
        <v>199</v>
      </c>
      <c r="E36" s="68">
        <v>1022.2497716894978</v>
      </c>
      <c r="F36" s="68">
        <v>1022.2497716894978</v>
      </c>
      <c r="G36" s="68">
        <v>1022.2497716894978</v>
      </c>
      <c r="H36" s="5">
        <v>0</v>
      </c>
      <c r="I36" s="4"/>
    </row>
    <row r="37" spans="4:9" x14ac:dyDescent="0.3">
      <c r="D37" s="5" t="s">
        <v>200</v>
      </c>
      <c r="E37" s="68">
        <v>989.27397260273983</v>
      </c>
      <c r="F37" s="68">
        <v>989.27397260273983</v>
      </c>
      <c r="G37" s="68">
        <v>989.27397260273983</v>
      </c>
      <c r="H37" s="5">
        <v>0</v>
      </c>
      <c r="I37" s="4"/>
    </row>
    <row r="38" spans="4:9" x14ac:dyDescent="0.3">
      <c r="D38" s="157" t="s">
        <v>201</v>
      </c>
      <c r="E38" s="49">
        <v>32.975799086757995</v>
      </c>
      <c r="F38" s="49">
        <v>32.975799086757995</v>
      </c>
      <c r="G38" s="49">
        <v>32.975799086757995</v>
      </c>
      <c r="H38" s="33">
        <v>0</v>
      </c>
      <c r="I38" s="4"/>
    </row>
    <row r="39" spans="4:9" x14ac:dyDescent="0.3">
      <c r="D39" s="33" t="s">
        <v>201</v>
      </c>
      <c r="E39" s="49">
        <v>741.95547945205487</v>
      </c>
      <c r="F39" s="49">
        <v>741.95547945205487</v>
      </c>
      <c r="G39" s="49">
        <v>741.95547945205487</v>
      </c>
      <c r="H39" s="33">
        <v>741.95547945205487</v>
      </c>
      <c r="I39" s="4"/>
    </row>
    <row r="40" spans="4:9" x14ac:dyDescent="0.3">
      <c r="D40" s="5" t="s">
        <v>202</v>
      </c>
      <c r="E40" s="68">
        <v>741.95547945205487</v>
      </c>
      <c r="F40" s="68">
        <v>741.95547945205487</v>
      </c>
      <c r="G40" s="68">
        <v>741.95547945205487</v>
      </c>
      <c r="H40" s="5">
        <v>741.95547945205487</v>
      </c>
      <c r="I40" s="4"/>
    </row>
    <row r="41" spans="4:9" x14ac:dyDescent="0.3">
      <c r="D41" s="33" t="s">
        <v>203</v>
      </c>
      <c r="E41" s="49">
        <v>469.90513698630139</v>
      </c>
      <c r="F41" s="49">
        <v>469.90513698630139</v>
      </c>
      <c r="G41" s="49">
        <v>469.90513698630139</v>
      </c>
      <c r="H41" s="33">
        <v>469.90513698630139</v>
      </c>
      <c r="I41" s="4"/>
    </row>
    <row r="42" spans="4:9" x14ac:dyDescent="0.3">
      <c r="D42" s="33" t="s">
        <v>203</v>
      </c>
      <c r="E42" s="49">
        <v>395.70958904109591</v>
      </c>
      <c r="F42" s="49">
        <v>395.70958904109591</v>
      </c>
      <c r="G42" s="49">
        <v>395.70958904109591</v>
      </c>
      <c r="H42" s="33">
        <v>0</v>
      </c>
      <c r="I42" s="4"/>
    </row>
    <row r="43" spans="4:9" x14ac:dyDescent="0.3">
      <c r="D43" s="5" t="s">
        <v>204</v>
      </c>
      <c r="E43" s="68">
        <v>1022.2497716894978</v>
      </c>
      <c r="F43" s="68">
        <v>1022.2497716894978</v>
      </c>
      <c r="G43" s="68">
        <v>1022.2497716894978</v>
      </c>
      <c r="H43" s="5">
        <v>0</v>
      </c>
      <c r="I43" s="4"/>
    </row>
    <row r="44" spans="4:9" x14ac:dyDescent="0.3">
      <c r="D44" s="5" t="s">
        <v>205</v>
      </c>
      <c r="E44" s="68">
        <v>989.27397260273983</v>
      </c>
      <c r="F44" s="68">
        <v>989.27397260273983</v>
      </c>
      <c r="G44" s="68">
        <v>989.27397260273983</v>
      </c>
      <c r="H44" s="5">
        <v>0</v>
      </c>
      <c r="I44" s="4"/>
    </row>
    <row r="45" spans="4:9" x14ac:dyDescent="0.3">
      <c r="D45" s="5" t="s">
        <v>194</v>
      </c>
      <c r="E45" s="68">
        <v>395.70958904109591</v>
      </c>
      <c r="F45" s="68">
        <v>395.70958904109591</v>
      </c>
      <c r="G45" s="68">
        <v>395.70958904109591</v>
      </c>
      <c r="H45" s="5">
        <v>0</v>
      </c>
      <c r="I45" s="4"/>
    </row>
    <row r="46" spans="4:9" x14ac:dyDescent="0.3">
      <c r="D46" s="4"/>
      <c r="E46" s="4"/>
      <c r="F46" s="4"/>
      <c r="G46" s="4"/>
      <c r="H46" s="4"/>
      <c r="I46" s="4"/>
    </row>
    <row r="47" spans="4:9" x14ac:dyDescent="0.3">
      <c r="D47" s="32" t="s">
        <v>27</v>
      </c>
      <c r="E47" s="156">
        <f>SUM(E31:E46)</f>
        <v>11384.894634703198</v>
      </c>
      <c r="F47" s="156">
        <f>E47</f>
        <v>11384.894634703198</v>
      </c>
      <c r="G47" s="156">
        <f>E47</f>
        <v>11384.894634703198</v>
      </c>
      <c r="H47" s="156">
        <f>SUM(H39:H46)</f>
        <v>1953.8160958904111</v>
      </c>
      <c r="I47" s="52"/>
    </row>
    <row r="50" spans="7:8" x14ac:dyDescent="0.3">
      <c r="G50" s="158" t="s">
        <v>207</v>
      </c>
      <c r="H50" s="159">
        <f>SUM(E47:H47)</f>
        <v>36108.500000000007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1F40-3557-45E8-9CE5-4DAB878FEE34}">
  <dimension ref="A1:D85"/>
  <sheetViews>
    <sheetView topLeftCell="A81" workbookViewId="0">
      <selection activeCell="C79" sqref="C79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29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2"/>
      <c r="B8" s="5"/>
      <c r="C8" s="24"/>
      <c r="D8" s="16" t="s">
        <v>136</v>
      </c>
    </row>
    <row r="9" spans="1:4" ht="23.4" x14ac:dyDescent="0.3">
      <c r="A9" s="72"/>
      <c r="B9" s="5"/>
      <c r="C9" s="24"/>
      <c r="D9" s="16"/>
    </row>
    <row r="10" spans="1:4" ht="23.4" x14ac:dyDescent="0.3">
      <c r="A10" s="72"/>
      <c r="B10" s="5"/>
      <c r="C10" s="24"/>
      <c r="D10" s="16"/>
    </row>
    <row r="11" spans="1:4" ht="23.4" x14ac:dyDescent="0.3">
      <c r="A11" s="72"/>
      <c r="B11" s="5"/>
      <c r="C11" s="24"/>
      <c r="D11" s="16"/>
    </row>
    <row r="12" spans="1:4" ht="23.4" x14ac:dyDescent="0.3">
      <c r="A12" s="72"/>
      <c r="B12" s="5"/>
      <c r="C12" s="24"/>
      <c r="D12" s="73"/>
    </row>
    <row r="13" spans="1:4" ht="23.4" x14ac:dyDescent="0.3">
      <c r="A13" s="72"/>
      <c r="B13" s="5"/>
      <c r="C13" s="24"/>
      <c r="D13" s="16"/>
    </row>
    <row r="14" spans="1:4" ht="23.4" x14ac:dyDescent="0.3">
      <c r="A14" s="72"/>
      <c r="B14" s="5"/>
      <c r="C14" s="24"/>
      <c r="D14" s="16"/>
    </row>
    <row r="15" spans="1:4" ht="23.4" x14ac:dyDescent="0.3">
      <c r="A15" s="15"/>
      <c r="B15" s="22" t="s">
        <v>27</v>
      </c>
      <c r="C15" s="30">
        <f>SUM(C8:C14)</f>
        <v>0</v>
      </c>
      <c r="D15" s="20"/>
    </row>
    <row r="16" spans="1:4" ht="23.4" x14ac:dyDescent="0.3">
      <c r="A16" s="9"/>
      <c r="B16" s="4"/>
      <c r="C16" s="29"/>
      <c r="D16" s="1"/>
    </row>
    <row r="17" spans="1:4" ht="23.4" x14ac:dyDescent="0.3">
      <c r="A17" s="9"/>
      <c r="B17" s="4"/>
      <c r="C17" s="29"/>
      <c r="D17" s="1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14" t="s">
        <v>23</v>
      </c>
      <c r="B20" s="13"/>
    </row>
    <row r="21" spans="1:4" ht="23.4" x14ac:dyDescent="0.3">
      <c r="A21" s="8"/>
    </row>
    <row r="22" spans="1:4" ht="23.4" x14ac:dyDescent="0.3">
      <c r="A22" s="17" t="s">
        <v>2</v>
      </c>
      <c r="B22" s="18" t="s">
        <v>3</v>
      </c>
      <c r="C22" s="28" t="s">
        <v>4</v>
      </c>
      <c r="D22" s="19" t="s">
        <v>24</v>
      </c>
    </row>
    <row r="23" spans="1:4" ht="23.4" x14ac:dyDescent="0.3">
      <c r="A23" s="72">
        <v>45951</v>
      </c>
      <c r="B23" s="5" t="s">
        <v>31</v>
      </c>
      <c r="C23" s="24">
        <v>150</v>
      </c>
      <c r="D23" s="16" t="s">
        <v>138</v>
      </c>
    </row>
    <row r="24" spans="1:4" ht="23.4" x14ac:dyDescent="0.3">
      <c r="A24" s="72"/>
      <c r="B24" s="5" t="s">
        <v>46</v>
      </c>
      <c r="C24" s="24">
        <v>30</v>
      </c>
      <c r="D24" s="16" t="s">
        <v>138</v>
      </c>
    </row>
    <row r="25" spans="1:4" ht="23.4" x14ac:dyDescent="0.3">
      <c r="A25" s="72">
        <v>45958</v>
      </c>
      <c r="B25" s="5" t="s">
        <v>47</v>
      </c>
      <c r="C25" s="24">
        <v>120</v>
      </c>
      <c r="D25" s="16" t="s">
        <v>138</v>
      </c>
    </row>
    <row r="26" spans="1:4" ht="23.4" x14ac:dyDescent="0.3">
      <c r="A26" s="72"/>
      <c r="B26" s="5" t="s">
        <v>48</v>
      </c>
      <c r="C26" s="24">
        <f>457.06-25.38-13.41-72.2</f>
        <v>346.07</v>
      </c>
      <c r="D26" s="16" t="s">
        <v>138</v>
      </c>
    </row>
    <row r="27" spans="1:4" ht="23.4" x14ac:dyDescent="0.3">
      <c r="A27" s="72"/>
      <c r="B27" s="5" t="s">
        <v>49</v>
      </c>
      <c r="C27" s="24">
        <v>19.64</v>
      </c>
      <c r="D27" s="16" t="s">
        <v>138</v>
      </c>
    </row>
    <row r="28" spans="1:4" ht="23.4" x14ac:dyDescent="0.3">
      <c r="A28" s="72"/>
      <c r="B28" s="5"/>
      <c r="C28" s="24"/>
      <c r="D28" s="16"/>
    </row>
    <row r="29" spans="1:4" ht="23.4" x14ac:dyDescent="0.3">
      <c r="A29" s="72"/>
      <c r="B29" s="5"/>
      <c r="C29" s="24"/>
      <c r="D29" s="16"/>
    </row>
    <row r="30" spans="1:4" ht="23.4" x14ac:dyDescent="0.3">
      <c r="A30" s="72"/>
      <c r="B30" s="5"/>
      <c r="C30" s="24"/>
      <c r="D30" s="16"/>
    </row>
    <row r="31" spans="1:4" ht="23.4" x14ac:dyDescent="0.3">
      <c r="A31" s="72"/>
      <c r="B31" s="5"/>
      <c r="C31" s="24"/>
      <c r="D31" s="16"/>
    </row>
    <row r="32" spans="1:4" ht="23.4" x14ac:dyDescent="0.3">
      <c r="A32" s="72"/>
      <c r="B32" s="5"/>
      <c r="C32" s="24"/>
      <c r="D32" s="16"/>
    </row>
    <row r="33" spans="1:4" ht="23.4" x14ac:dyDescent="0.3">
      <c r="A33" s="72"/>
      <c r="B33" s="5"/>
      <c r="C33" s="24"/>
      <c r="D33" s="16"/>
    </row>
    <row r="34" spans="1:4" ht="23.4" x14ac:dyDescent="0.3">
      <c r="A34" s="72"/>
      <c r="B34" s="5"/>
      <c r="C34" s="24"/>
      <c r="D34" s="16"/>
    </row>
    <row r="35" spans="1:4" ht="23.4" x14ac:dyDescent="0.3">
      <c r="A35" s="72"/>
      <c r="B35" s="5"/>
      <c r="C35" s="24"/>
      <c r="D35" s="16"/>
    </row>
    <row r="36" spans="1:4" ht="23.4" x14ac:dyDescent="0.3">
      <c r="A36" s="72"/>
      <c r="B36" s="5"/>
      <c r="C36" s="24"/>
      <c r="D36" s="16"/>
    </row>
    <row r="37" spans="1:4" ht="23.4" x14ac:dyDescent="0.3">
      <c r="A37" s="72"/>
      <c r="B37" s="5"/>
      <c r="C37" s="24"/>
      <c r="D37" s="16"/>
    </row>
    <row r="38" spans="1:4" ht="23.4" x14ac:dyDescent="0.3">
      <c r="A38" s="72"/>
      <c r="B38" s="5"/>
      <c r="C38" s="24"/>
      <c r="D38" s="16"/>
    </row>
    <row r="39" spans="1:4" ht="23.4" x14ac:dyDescent="0.3">
      <c r="A39" s="15"/>
      <c r="B39" s="7"/>
      <c r="C39" s="31"/>
      <c r="D39" s="16"/>
    </row>
    <row r="40" spans="1:4" ht="23.4" x14ac:dyDescent="0.3">
      <c r="A40" s="15"/>
      <c r="B40" s="22" t="s">
        <v>27</v>
      </c>
      <c r="C40" s="30">
        <f>SUBTOTAL(109,C23:C39)</f>
        <v>665.70999999999992</v>
      </c>
      <c r="D40" s="20"/>
    </row>
    <row r="47" spans="1:4" ht="23.4" x14ac:dyDescent="0.3">
      <c r="A47" s="12" t="s">
        <v>32</v>
      </c>
      <c r="B47" s="13"/>
    </row>
    <row r="48" spans="1:4" ht="23.4" x14ac:dyDescent="0.3">
      <c r="A48" s="21"/>
    </row>
    <row r="49" spans="1:4" ht="23.4" x14ac:dyDescent="0.3">
      <c r="A49" s="17" t="s">
        <v>2</v>
      </c>
      <c r="B49" s="18" t="s">
        <v>3</v>
      </c>
      <c r="C49" s="28" t="s">
        <v>4</v>
      </c>
      <c r="D49" s="19" t="s">
        <v>24</v>
      </c>
    </row>
    <row r="50" spans="1:4" ht="23.4" x14ac:dyDescent="0.3">
      <c r="A50" s="72"/>
      <c r="B50" s="5"/>
      <c r="C50" s="24"/>
      <c r="D50" s="16" t="s">
        <v>137</v>
      </c>
    </row>
    <row r="51" spans="1:4" ht="23.4" x14ac:dyDescent="0.3">
      <c r="A51" s="72"/>
      <c r="B51" s="5"/>
      <c r="C51" s="24"/>
      <c r="D51" s="16"/>
    </row>
    <row r="52" spans="1:4" ht="23.4" x14ac:dyDescent="0.3">
      <c r="A52" s="72"/>
      <c r="B52" s="5"/>
      <c r="C52" s="24"/>
      <c r="D52" s="16"/>
    </row>
    <row r="53" spans="1:4" ht="23.4" x14ac:dyDescent="0.3">
      <c r="A53" s="72"/>
      <c r="B53" s="5"/>
      <c r="C53" s="24"/>
      <c r="D53" s="16"/>
    </row>
    <row r="54" spans="1:4" ht="23.4" x14ac:dyDescent="0.3">
      <c r="A54" s="72"/>
      <c r="B54" s="5"/>
      <c r="C54" s="24"/>
      <c r="D54" s="16"/>
    </row>
    <row r="55" spans="1:4" ht="23.4" x14ac:dyDescent="0.3">
      <c r="A55" s="72"/>
      <c r="B55" s="5"/>
      <c r="C55" s="24"/>
      <c r="D55" s="16"/>
    </row>
    <row r="56" spans="1:4" ht="23.4" x14ac:dyDescent="0.3">
      <c r="A56" s="72"/>
      <c r="B56" s="5"/>
      <c r="C56" s="24"/>
      <c r="D56" s="16"/>
    </row>
    <row r="57" spans="1:4" ht="23.4" x14ac:dyDescent="0.3">
      <c r="A57" s="72"/>
      <c r="B57" s="5"/>
      <c r="C57" s="24"/>
      <c r="D57" s="16"/>
    </row>
    <row r="58" spans="1:4" ht="23.4" x14ac:dyDescent="0.3">
      <c r="A58" s="72"/>
      <c r="B58" s="5"/>
      <c r="C58" s="24"/>
      <c r="D58" s="16"/>
    </row>
    <row r="59" spans="1:4" ht="23.4" x14ac:dyDescent="0.3">
      <c r="A59" s="72"/>
      <c r="B59" s="5"/>
      <c r="C59" s="24"/>
      <c r="D59" s="16"/>
    </row>
    <row r="60" spans="1:4" ht="23.4" x14ac:dyDescent="0.3">
      <c r="A60" s="72"/>
      <c r="B60" s="5"/>
      <c r="C60" s="24"/>
      <c r="D60" s="16"/>
    </row>
    <row r="61" spans="1:4" ht="23.4" x14ac:dyDescent="0.3">
      <c r="A61" s="72"/>
      <c r="B61" s="5"/>
      <c r="C61" s="24"/>
      <c r="D61" s="16"/>
    </row>
    <row r="62" spans="1:4" ht="23.4" x14ac:dyDescent="0.3">
      <c r="A62" s="72"/>
      <c r="B62" s="5"/>
      <c r="C62" s="24"/>
      <c r="D62" s="16"/>
    </row>
    <row r="63" spans="1:4" ht="23.4" x14ac:dyDescent="0.3">
      <c r="A63" s="72"/>
      <c r="B63" s="5"/>
      <c r="C63" s="24"/>
      <c r="D63" s="16"/>
    </row>
    <row r="64" spans="1:4" ht="23.4" x14ac:dyDescent="0.3">
      <c r="A64" s="72"/>
      <c r="B64" s="5"/>
      <c r="C64" s="24"/>
      <c r="D64" s="16"/>
    </row>
    <row r="65" spans="1:4" ht="23.4" x14ac:dyDescent="0.3">
      <c r="A65" s="72"/>
      <c r="B65" s="5"/>
      <c r="C65" s="24"/>
      <c r="D65" s="16"/>
    </row>
    <row r="66" spans="1:4" ht="23.4" x14ac:dyDescent="0.3">
      <c r="A66" s="72"/>
      <c r="B66" s="5"/>
      <c r="C66" s="24"/>
      <c r="D66" s="16"/>
    </row>
    <row r="67" spans="1:4" ht="23.4" x14ac:dyDescent="0.3">
      <c r="A67" s="72"/>
      <c r="B67" s="5"/>
      <c r="C67" s="24"/>
      <c r="D67" s="16"/>
    </row>
    <row r="68" spans="1:4" ht="23.4" x14ac:dyDescent="0.3">
      <c r="A68" s="15"/>
      <c r="B68" s="5"/>
      <c r="C68" s="30">
        <f>SUM(C50:C67)</f>
        <v>0</v>
      </c>
      <c r="D68" s="20"/>
    </row>
    <row r="84" spans="2:3" ht="23.4" x14ac:dyDescent="0.3">
      <c r="B84" s="10" t="s">
        <v>27</v>
      </c>
      <c r="C84" s="25">
        <f>C15+C40+C68</f>
        <v>665.70999999999992</v>
      </c>
    </row>
    <row r="85" spans="2:3" ht="46.8" x14ac:dyDescent="0.3">
      <c r="B85" s="45" t="s">
        <v>33</v>
      </c>
      <c r="C85" s="27">
        <f>C84/3</f>
        <v>221.90333333333331</v>
      </c>
    </row>
  </sheetData>
  <sortState xmlns:xlrd2="http://schemas.microsoft.com/office/spreadsheetml/2017/richdata2" ref="A20:D39">
    <sortCondition descending="1" ref="A20:A39"/>
  </sortState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56BC-718F-4DE7-8172-8FB9BFC08264}">
  <dimension ref="A1:D78"/>
  <sheetViews>
    <sheetView topLeftCell="A73" workbookViewId="0">
      <selection activeCell="D44" sqref="D44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34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2"/>
      <c r="B8" s="5" t="s">
        <v>62</v>
      </c>
      <c r="C8" s="24">
        <v>30</v>
      </c>
      <c r="D8" s="16" t="s">
        <v>136</v>
      </c>
    </row>
    <row r="9" spans="1:4" ht="23.4" x14ac:dyDescent="0.3">
      <c r="A9" s="72"/>
      <c r="B9" s="5" t="s">
        <v>63</v>
      </c>
      <c r="C9" s="24">
        <v>24</v>
      </c>
      <c r="D9" s="16" t="s">
        <v>136</v>
      </c>
    </row>
    <row r="10" spans="1:4" ht="23.4" x14ac:dyDescent="0.3">
      <c r="A10" s="72"/>
      <c r="B10" s="5"/>
      <c r="C10" s="24"/>
      <c r="D10" s="16"/>
    </row>
    <row r="11" spans="1:4" ht="23.4" x14ac:dyDescent="0.3">
      <c r="A11" s="72"/>
      <c r="B11" s="5"/>
      <c r="C11" s="24"/>
      <c r="D11" s="16"/>
    </row>
    <row r="12" spans="1:4" ht="23.4" x14ac:dyDescent="0.3">
      <c r="A12" s="72"/>
      <c r="B12" s="5"/>
      <c r="C12" s="24"/>
      <c r="D12" s="16"/>
    </row>
    <row r="13" spans="1:4" ht="23.4" x14ac:dyDescent="0.3">
      <c r="A13" s="15"/>
      <c r="B13" s="22" t="s">
        <v>27</v>
      </c>
      <c r="C13" s="30">
        <f>SUM(C8:C12)</f>
        <v>54</v>
      </c>
      <c r="D13" s="20"/>
    </row>
    <row r="14" spans="1:4" ht="23.4" x14ac:dyDescent="0.3">
      <c r="A14" s="9"/>
      <c r="B14" s="4"/>
      <c r="C14" s="29"/>
      <c r="D14" s="1"/>
    </row>
    <row r="15" spans="1:4" ht="23.4" x14ac:dyDescent="0.3">
      <c r="A15" s="9"/>
      <c r="B15" s="4"/>
      <c r="C15" s="29"/>
      <c r="D15" s="1"/>
    </row>
    <row r="16" spans="1:4" ht="23.4" x14ac:dyDescent="0.3">
      <c r="A16" s="9"/>
      <c r="B16" s="4"/>
      <c r="C16" s="29"/>
      <c r="D16" s="1"/>
    </row>
    <row r="17" spans="1:4" ht="23.4" x14ac:dyDescent="0.3">
      <c r="A17" s="9"/>
      <c r="B17" s="4"/>
      <c r="C17" s="29"/>
      <c r="D17" s="1"/>
    </row>
    <row r="18" spans="1:4" ht="23.4" x14ac:dyDescent="0.3">
      <c r="A18" s="14" t="s">
        <v>23</v>
      </c>
      <c r="B18" s="13"/>
    </row>
    <row r="19" spans="1:4" ht="23.4" x14ac:dyDescent="0.3">
      <c r="A19" s="8"/>
    </row>
    <row r="20" spans="1:4" ht="23.4" x14ac:dyDescent="0.3">
      <c r="A20" s="17" t="s">
        <v>2</v>
      </c>
      <c r="B20" s="18" t="s">
        <v>3</v>
      </c>
      <c r="C20" s="28" t="s">
        <v>4</v>
      </c>
      <c r="D20" s="19" t="s">
        <v>24</v>
      </c>
    </row>
    <row r="21" spans="1:4" ht="23.4" x14ac:dyDescent="0.3">
      <c r="A21" s="72"/>
      <c r="B21" s="5" t="s">
        <v>52</v>
      </c>
      <c r="C21" s="24">
        <v>5.49</v>
      </c>
      <c r="D21" s="16" t="s">
        <v>138</v>
      </c>
    </row>
    <row r="22" spans="1:4" ht="23.4" x14ac:dyDescent="0.3">
      <c r="A22" s="72"/>
      <c r="B22" s="5" t="s">
        <v>60</v>
      </c>
      <c r="C22" s="24">
        <v>63.65</v>
      </c>
      <c r="D22" s="16" t="s">
        <v>138</v>
      </c>
    </row>
    <row r="23" spans="1:4" ht="23.4" x14ac:dyDescent="0.3">
      <c r="A23" s="72"/>
      <c r="B23" s="5" t="s">
        <v>61</v>
      </c>
      <c r="C23" s="24">
        <v>20</v>
      </c>
      <c r="D23" s="16" t="s">
        <v>138</v>
      </c>
    </row>
    <row r="24" spans="1:4" ht="23.4" x14ac:dyDescent="0.3">
      <c r="A24" s="72"/>
      <c r="B24" s="5" t="s">
        <v>64</v>
      </c>
      <c r="C24" s="24">
        <v>45.7</v>
      </c>
      <c r="D24" s="16" t="s">
        <v>138</v>
      </c>
    </row>
    <row r="25" spans="1:4" ht="23.4" x14ac:dyDescent="0.3">
      <c r="A25" s="72"/>
      <c r="B25" s="5"/>
      <c r="C25" s="24"/>
      <c r="D25" s="16"/>
    </row>
    <row r="26" spans="1:4" ht="23.4" x14ac:dyDescent="0.3">
      <c r="A26" s="72"/>
      <c r="B26" s="5"/>
      <c r="C26" s="24"/>
      <c r="D26" s="16"/>
    </row>
    <row r="27" spans="1:4" ht="23.4" x14ac:dyDescent="0.3">
      <c r="A27" s="72"/>
      <c r="B27" s="5"/>
      <c r="C27" s="24"/>
      <c r="D27" s="16"/>
    </row>
    <row r="28" spans="1:4" ht="23.4" x14ac:dyDescent="0.3">
      <c r="A28" s="72"/>
      <c r="B28" s="5"/>
      <c r="C28" s="24"/>
      <c r="D28" s="16"/>
    </row>
    <row r="29" spans="1:4" ht="23.4" x14ac:dyDescent="0.3">
      <c r="A29" s="72"/>
      <c r="B29" s="5"/>
      <c r="C29" s="24"/>
      <c r="D29" s="16"/>
    </row>
    <row r="30" spans="1:4" ht="23.4" x14ac:dyDescent="0.3">
      <c r="A30" s="72"/>
      <c r="B30" s="5"/>
      <c r="C30" s="24"/>
      <c r="D30" s="16"/>
    </row>
    <row r="31" spans="1:4" ht="23.4" x14ac:dyDescent="0.3">
      <c r="A31" s="72"/>
      <c r="B31" s="5"/>
      <c r="C31" s="24"/>
      <c r="D31" s="16"/>
    </row>
    <row r="32" spans="1:4" ht="23.4" x14ac:dyDescent="0.3">
      <c r="A32" s="72"/>
      <c r="B32" s="5"/>
      <c r="C32" s="24"/>
      <c r="D32" s="16"/>
    </row>
    <row r="33" spans="1:4" ht="23.4" x14ac:dyDescent="0.3">
      <c r="A33" s="15"/>
      <c r="B33" s="7"/>
      <c r="C33" s="31"/>
      <c r="D33" s="16"/>
    </row>
    <row r="34" spans="1:4" ht="23.4" x14ac:dyDescent="0.3">
      <c r="A34" s="15"/>
      <c r="B34" s="22" t="s">
        <v>27</v>
      </c>
      <c r="C34" s="30">
        <f>SUM(C21:C33)</f>
        <v>134.84</v>
      </c>
      <c r="D34" s="20"/>
    </row>
    <row r="41" spans="1:4" ht="23.4" x14ac:dyDescent="0.3">
      <c r="A41" s="12" t="s">
        <v>32</v>
      </c>
      <c r="B41" s="13"/>
    </row>
    <row r="42" spans="1:4" ht="23.4" x14ac:dyDescent="0.3">
      <c r="A42" s="21"/>
    </row>
    <row r="43" spans="1:4" ht="23.4" x14ac:dyDescent="0.3">
      <c r="A43" s="17" t="s">
        <v>2</v>
      </c>
      <c r="B43" s="18" t="s">
        <v>3</v>
      </c>
      <c r="C43" s="28" t="s">
        <v>4</v>
      </c>
      <c r="D43" s="19" t="s">
        <v>24</v>
      </c>
    </row>
    <row r="44" spans="1:4" ht="23.4" x14ac:dyDescent="0.3">
      <c r="A44" s="72"/>
      <c r="B44" s="5" t="s">
        <v>50</v>
      </c>
      <c r="C44" s="24">
        <v>10</v>
      </c>
      <c r="D44" s="16" t="s">
        <v>137</v>
      </c>
    </row>
    <row r="45" spans="1:4" ht="23.4" x14ac:dyDescent="0.3">
      <c r="A45" s="72"/>
      <c r="B45" s="5" t="s">
        <v>51</v>
      </c>
      <c r="C45" s="24">
        <v>11</v>
      </c>
      <c r="D45" s="16" t="s">
        <v>137</v>
      </c>
    </row>
    <row r="46" spans="1:4" ht="23.4" x14ac:dyDescent="0.3">
      <c r="A46" s="72"/>
      <c r="B46" s="5" t="s">
        <v>59</v>
      </c>
      <c r="C46" s="24">
        <v>12.5</v>
      </c>
      <c r="D46" s="16" t="s">
        <v>137</v>
      </c>
    </row>
    <row r="47" spans="1:4" ht="23.4" x14ac:dyDescent="0.3">
      <c r="A47" s="72"/>
      <c r="B47" s="5"/>
      <c r="C47" s="24"/>
      <c r="D47" s="16"/>
    </row>
    <row r="48" spans="1:4" ht="23.4" x14ac:dyDescent="0.3">
      <c r="A48" s="72"/>
      <c r="B48" s="5"/>
      <c r="C48" s="24"/>
      <c r="D48" s="16"/>
    </row>
    <row r="49" spans="1:4" ht="23.4" x14ac:dyDescent="0.3">
      <c r="A49" s="72"/>
      <c r="B49" s="5"/>
      <c r="C49" s="24"/>
      <c r="D49" s="16"/>
    </row>
    <row r="50" spans="1:4" ht="23.4" x14ac:dyDescent="0.3">
      <c r="A50" s="72"/>
      <c r="B50" s="5"/>
      <c r="C50" s="24"/>
      <c r="D50" s="16"/>
    </row>
    <row r="51" spans="1:4" ht="23.4" x14ac:dyDescent="0.3">
      <c r="A51" s="72"/>
      <c r="B51" s="5"/>
      <c r="C51" s="24"/>
      <c r="D51" s="16"/>
    </row>
    <row r="52" spans="1:4" ht="23.4" x14ac:dyDescent="0.3">
      <c r="A52" s="72"/>
      <c r="B52" s="5"/>
      <c r="C52" s="24"/>
      <c r="D52" s="16"/>
    </row>
    <row r="53" spans="1:4" ht="23.4" x14ac:dyDescent="0.3">
      <c r="A53" s="72"/>
      <c r="B53" s="5"/>
      <c r="C53" s="24"/>
      <c r="D53" s="16"/>
    </row>
    <row r="54" spans="1:4" ht="23.4" x14ac:dyDescent="0.3">
      <c r="A54" s="72"/>
      <c r="B54" s="5"/>
      <c r="C54" s="24"/>
      <c r="D54" s="16"/>
    </row>
    <row r="55" spans="1:4" ht="23.4" x14ac:dyDescent="0.3">
      <c r="A55" s="72"/>
      <c r="B55" s="5"/>
      <c r="C55" s="24"/>
      <c r="D55" s="16"/>
    </row>
    <row r="56" spans="1:4" ht="23.4" x14ac:dyDescent="0.3">
      <c r="A56" s="72"/>
      <c r="B56" s="5"/>
      <c r="C56" s="24"/>
      <c r="D56" s="16"/>
    </row>
    <row r="57" spans="1:4" ht="23.4" x14ac:dyDescent="0.3">
      <c r="A57" s="72"/>
      <c r="B57" s="5"/>
      <c r="C57" s="24"/>
      <c r="D57" s="16"/>
    </row>
    <row r="58" spans="1:4" ht="23.4" x14ac:dyDescent="0.3">
      <c r="A58" s="72"/>
      <c r="B58" s="5"/>
      <c r="C58" s="24"/>
      <c r="D58" s="16"/>
    </row>
    <row r="59" spans="1:4" ht="23.4" x14ac:dyDescent="0.3">
      <c r="A59" s="72"/>
      <c r="B59" s="5"/>
      <c r="C59" s="24"/>
      <c r="D59" s="16"/>
    </row>
    <row r="60" spans="1:4" ht="23.4" x14ac:dyDescent="0.3">
      <c r="A60" s="72"/>
      <c r="B60" s="5"/>
      <c r="C60" s="24"/>
      <c r="D60" s="16"/>
    </row>
    <row r="61" spans="1:4" ht="23.4" x14ac:dyDescent="0.3">
      <c r="A61" s="15"/>
      <c r="B61" s="22" t="s">
        <v>27</v>
      </c>
      <c r="C61" s="30">
        <f>SUM(C44:C60)</f>
        <v>33.5</v>
      </c>
      <c r="D61" s="20"/>
    </row>
    <row r="77" spans="2:3" ht="23.4" x14ac:dyDescent="0.3">
      <c r="B77" s="10" t="s">
        <v>27</v>
      </c>
      <c r="C77" s="25">
        <f>C13+C34+C61</f>
        <v>222.34</v>
      </c>
    </row>
    <row r="78" spans="2:3" ht="46.8" x14ac:dyDescent="0.3">
      <c r="B78" s="45" t="s">
        <v>33</v>
      </c>
      <c r="C78" s="27">
        <f>C77/3</f>
        <v>74.11333333333333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0DEB-ACEB-48F1-B501-0E42CA67D41A}">
  <dimension ref="A1:D79"/>
  <sheetViews>
    <sheetView topLeftCell="A74" zoomScale="115" zoomScaleNormal="115" workbookViewId="0">
      <selection activeCell="D44" sqref="D44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35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2"/>
      <c r="B8" s="5"/>
      <c r="C8" s="24"/>
      <c r="D8" s="16" t="s">
        <v>136</v>
      </c>
    </row>
    <row r="9" spans="1:4" ht="23.4" x14ac:dyDescent="0.3">
      <c r="A9" s="72"/>
      <c r="B9" s="5"/>
      <c r="C9" s="24"/>
      <c r="D9" s="16"/>
    </row>
    <row r="10" spans="1:4" ht="23.4" x14ac:dyDescent="0.3">
      <c r="A10" s="72"/>
      <c r="B10" s="5"/>
      <c r="C10" s="24"/>
      <c r="D10" s="16"/>
    </row>
    <row r="11" spans="1:4" ht="23.4" x14ac:dyDescent="0.3">
      <c r="A11" s="72"/>
      <c r="B11" s="5"/>
      <c r="C11" s="24"/>
      <c r="D11" s="16"/>
    </row>
    <row r="12" spans="1:4" ht="23.4" x14ac:dyDescent="0.3">
      <c r="A12" s="72"/>
      <c r="B12" s="5"/>
      <c r="C12" s="24"/>
      <c r="D12" s="16"/>
    </row>
    <row r="13" spans="1:4" ht="23.4" x14ac:dyDescent="0.3">
      <c r="A13" s="15"/>
      <c r="B13" s="22" t="s">
        <v>27</v>
      </c>
      <c r="C13" s="30">
        <f>SUM(C8:C12)</f>
        <v>0</v>
      </c>
      <c r="D13" s="20"/>
    </row>
    <row r="14" spans="1:4" ht="23.4" x14ac:dyDescent="0.3">
      <c r="A14" s="9"/>
      <c r="B14" s="4"/>
      <c r="C14" s="29"/>
      <c r="D14" s="1"/>
    </row>
    <row r="15" spans="1:4" ht="23.4" x14ac:dyDescent="0.3">
      <c r="A15" s="9"/>
      <c r="B15" s="4"/>
      <c r="C15" s="29"/>
      <c r="D15" s="1"/>
    </row>
    <row r="16" spans="1:4" ht="23.4" x14ac:dyDescent="0.3">
      <c r="A16" s="9"/>
      <c r="B16" s="4"/>
      <c r="C16" s="29"/>
      <c r="D16" s="1"/>
    </row>
    <row r="17" spans="1:4" ht="23.4" x14ac:dyDescent="0.3">
      <c r="A17" s="9"/>
      <c r="B17" s="4"/>
      <c r="C17" s="29"/>
      <c r="D17" s="1"/>
    </row>
    <row r="18" spans="1:4" ht="23.4" x14ac:dyDescent="0.3">
      <c r="A18" s="14" t="s">
        <v>23</v>
      </c>
      <c r="B18" s="13"/>
    </row>
    <row r="19" spans="1:4" ht="23.4" x14ac:dyDescent="0.3">
      <c r="A19" s="8"/>
    </row>
    <row r="20" spans="1:4" ht="23.4" x14ac:dyDescent="0.3">
      <c r="A20" s="17" t="s">
        <v>2</v>
      </c>
      <c r="B20" s="18" t="s">
        <v>3</v>
      </c>
      <c r="C20" s="28" t="s">
        <v>4</v>
      </c>
      <c r="D20" s="19" t="s">
        <v>24</v>
      </c>
    </row>
    <row r="21" spans="1:4" ht="23.4" x14ac:dyDescent="0.3">
      <c r="A21" s="72"/>
      <c r="B21" s="5" t="s">
        <v>67</v>
      </c>
      <c r="C21" s="24">
        <v>115.81</v>
      </c>
      <c r="D21" s="16" t="s">
        <v>138</v>
      </c>
    </row>
    <row r="22" spans="1:4" ht="23.4" x14ac:dyDescent="0.3">
      <c r="A22" s="72"/>
      <c r="B22" s="5"/>
      <c r="C22" s="24"/>
      <c r="D22" s="16"/>
    </row>
    <row r="23" spans="1:4" ht="23.4" x14ac:dyDescent="0.3">
      <c r="A23" s="72"/>
      <c r="B23" s="5"/>
      <c r="C23" s="24"/>
      <c r="D23" s="16"/>
    </row>
    <row r="24" spans="1:4" ht="23.4" x14ac:dyDescent="0.3">
      <c r="A24" s="72"/>
      <c r="B24" s="5"/>
      <c r="C24" s="24"/>
      <c r="D24" s="16"/>
    </row>
    <row r="25" spans="1:4" ht="23.4" x14ac:dyDescent="0.3">
      <c r="A25" s="72"/>
      <c r="B25" s="5"/>
      <c r="C25" s="24"/>
      <c r="D25" s="16"/>
    </row>
    <row r="26" spans="1:4" ht="23.4" x14ac:dyDescent="0.3">
      <c r="A26" s="72"/>
      <c r="B26" s="5"/>
      <c r="C26" s="24"/>
      <c r="D26" s="16"/>
    </row>
    <row r="27" spans="1:4" ht="23.4" x14ac:dyDescent="0.3">
      <c r="A27" s="72"/>
      <c r="B27" s="5"/>
      <c r="C27" s="24"/>
      <c r="D27" s="16"/>
    </row>
    <row r="28" spans="1:4" ht="23.4" x14ac:dyDescent="0.3">
      <c r="A28" s="72"/>
      <c r="B28" s="5"/>
      <c r="C28" s="24"/>
      <c r="D28" s="16"/>
    </row>
    <row r="29" spans="1:4" ht="23.4" x14ac:dyDescent="0.3">
      <c r="A29" s="72"/>
      <c r="B29" s="5"/>
      <c r="C29" s="24"/>
      <c r="D29" s="16"/>
    </row>
    <row r="30" spans="1:4" ht="23.4" x14ac:dyDescent="0.3">
      <c r="A30" s="72"/>
      <c r="B30" s="5"/>
      <c r="C30" s="24"/>
      <c r="D30" s="16"/>
    </row>
    <row r="31" spans="1:4" ht="23.4" x14ac:dyDescent="0.3">
      <c r="A31" s="72"/>
      <c r="B31" s="5"/>
      <c r="C31" s="24"/>
      <c r="D31" s="16"/>
    </row>
    <row r="32" spans="1:4" ht="23.4" x14ac:dyDescent="0.3">
      <c r="A32" s="72"/>
      <c r="B32" s="5"/>
      <c r="C32" s="24"/>
      <c r="D32" s="16"/>
    </row>
    <row r="33" spans="1:4" ht="23.4" x14ac:dyDescent="0.3">
      <c r="A33" s="15"/>
      <c r="B33" s="7"/>
      <c r="C33" s="31"/>
      <c r="D33" s="16"/>
    </row>
    <row r="34" spans="1:4" ht="23.4" x14ac:dyDescent="0.3">
      <c r="A34" s="15"/>
      <c r="B34" s="22" t="s">
        <v>27</v>
      </c>
      <c r="C34" s="30">
        <f>SUM(C21:C33)</f>
        <v>115.81</v>
      </c>
      <c r="D34" s="20"/>
    </row>
    <row r="41" spans="1:4" ht="23.4" x14ac:dyDescent="0.3">
      <c r="A41" s="12" t="s">
        <v>32</v>
      </c>
      <c r="B41" s="13"/>
    </row>
    <row r="42" spans="1:4" ht="23.4" x14ac:dyDescent="0.3">
      <c r="A42" s="21"/>
    </row>
    <row r="43" spans="1:4" ht="23.4" x14ac:dyDescent="0.3">
      <c r="A43" s="17" t="s">
        <v>2</v>
      </c>
      <c r="B43" s="18" t="s">
        <v>3</v>
      </c>
      <c r="C43" s="28" t="s">
        <v>4</v>
      </c>
      <c r="D43" s="19" t="s">
        <v>24</v>
      </c>
    </row>
    <row r="44" spans="1:4" ht="23.4" x14ac:dyDescent="0.3">
      <c r="A44" s="72"/>
      <c r="B44" s="5"/>
      <c r="C44" s="24"/>
      <c r="D44" s="16" t="s">
        <v>137</v>
      </c>
    </row>
    <row r="45" spans="1:4" ht="23.4" x14ac:dyDescent="0.3">
      <c r="A45" s="72"/>
      <c r="B45" s="5"/>
      <c r="C45" s="24"/>
      <c r="D45" s="16"/>
    </row>
    <row r="46" spans="1:4" ht="23.4" x14ac:dyDescent="0.3">
      <c r="A46" s="72"/>
      <c r="B46" s="5"/>
      <c r="C46" s="24"/>
      <c r="D46" s="16"/>
    </row>
    <row r="47" spans="1:4" ht="23.4" x14ac:dyDescent="0.3">
      <c r="A47" s="72"/>
      <c r="B47" s="5"/>
      <c r="C47" s="24"/>
      <c r="D47" s="16"/>
    </row>
    <row r="48" spans="1:4" ht="23.4" x14ac:dyDescent="0.3">
      <c r="A48" s="72"/>
      <c r="B48" s="5"/>
      <c r="C48" s="24"/>
      <c r="D48" s="16"/>
    </row>
    <row r="49" spans="1:4" ht="23.4" x14ac:dyDescent="0.3">
      <c r="A49" s="72"/>
      <c r="B49" s="5"/>
      <c r="C49" s="24"/>
      <c r="D49" s="16"/>
    </row>
    <row r="50" spans="1:4" ht="23.4" x14ac:dyDescent="0.3">
      <c r="A50" s="72"/>
      <c r="B50" s="5"/>
      <c r="C50" s="24"/>
      <c r="D50" s="16"/>
    </row>
    <row r="51" spans="1:4" ht="23.4" x14ac:dyDescent="0.3">
      <c r="A51" s="72"/>
      <c r="B51" s="5"/>
      <c r="C51" s="24"/>
      <c r="D51" s="16"/>
    </row>
    <row r="52" spans="1:4" ht="23.4" x14ac:dyDescent="0.3">
      <c r="A52" s="72"/>
      <c r="B52" s="5"/>
      <c r="C52" s="24"/>
      <c r="D52" s="16"/>
    </row>
    <row r="53" spans="1:4" ht="23.4" x14ac:dyDescent="0.3">
      <c r="A53" s="72"/>
      <c r="B53" s="5"/>
      <c r="C53" s="24"/>
      <c r="D53" s="16"/>
    </row>
    <row r="54" spans="1:4" ht="23.4" x14ac:dyDescent="0.3">
      <c r="A54" s="72"/>
      <c r="B54" s="5"/>
      <c r="C54" s="24"/>
      <c r="D54" s="16"/>
    </row>
    <row r="55" spans="1:4" ht="23.4" x14ac:dyDescent="0.3">
      <c r="A55" s="72"/>
      <c r="B55" s="5"/>
      <c r="C55" s="24"/>
      <c r="D55" s="16"/>
    </row>
    <row r="56" spans="1:4" ht="23.4" x14ac:dyDescent="0.3">
      <c r="A56" s="72"/>
      <c r="B56" s="5"/>
      <c r="C56" s="24"/>
      <c r="D56" s="16"/>
    </row>
    <row r="57" spans="1:4" ht="23.4" x14ac:dyDescent="0.3">
      <c r="A57" s="72"/>
      <c r="B57" s="5"/>
      <c r="C57" s="24"/>
      <c r="D57" s="16"/>
    </row>
    <row r="58" spans="1:4" ht="23.4" x14ac:dyDescent="0.3">
      <c r="A58" s="72"/>
      <c r="B58" s="5"/>
      <c r="C58" s="24"/>
      <c r="D58" s="16"/>
    </row>
    <row r="59" spans="1:4" ht="23.4" x14ac:dyDescent="0.3">
      <c r="A59" s="72"/>
      <c r="B59" s="5"/>
      <c r="C59" s="24"/>
      <c r="D59" s="16"/>
    </row>
    <row r="60" spans="1:4" ht="23.4" x14ac:dyDescent="0.3">
      <c r="A60" s="72"/>
      <c r="B60" s="5"/>
      <c r="C60" s="24"/>
      <c r="D60" s="16"/>
    </row>
    <row r="61" spans="1:4" ht="23.4" x14ac:dyDescent="0.3">
      <c r="A61" s="72"/>
      <c r="B61" s="5"/>
      <c r="C61" s="24"/>
      <c r="D61" s="16"/>
    </row>
    <row r="62" spans="1:4" ht="23.4" x14ac:dyDescent="0.3">
      <c r="A62" s="15"/>
      <c r="B62" s="22" t="s">
        <v>27</v>
      </c>
      <c r="C62" s="30">
        <f>SUM(C44:C61)</f>
        <v>0</v>
      </c>
      <c r="D62" s="20"/>
    </row>
    <row r="78" spans="2:3" ht="23.4" x14ac:dyDescent="0.3">
      <c r="B78" s="10" t="s">
        <v>27</v>
      </c>
      <c r="C78" s="25">
        <f>C13+C34+C62</f>
        <v>115.81</v>
      </c>
    </row>
    <row r="79" spans="2:3" ht="46.8" x14ac:dyDescent="0.3">
      <c r="B79" s="45" t="s">
        <v>33</v>
      </c>
      <c r="C79" s="27">
        <f>C78/3</f>
        <v>38.603333333333332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1AF9-1E68-4F35-A15E-1DA97B2DE195}">
  <dimension ref="A1:D79"/>
  <sheetViews>
    <sheetView topLeftCell="A33" workbookViewId="0">
      <selection activeCell="D45" sqref="D45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36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2"/>
      <c r="B8" s="5" t="s">
        <v>63</v>
      </c>
      <c r="C8" s="24">
        <v>23.98</v>
      </c>
      <c r="D8" s="16" t="s">
        <v>136</v>
      </c>
    </row>
    <row r="9" spans="1:4" ht="23.4" x14ac:dyDescent="0.3">
      <c r="A9" s="72"/>
      <c r="B9" s="5" t="s">
        <v>68</v>
      </c>
      <c r="C9" s="24">
        <v>25</v>
      </c>
      <c r="D9" s="16" t="s">
        <v>136</v>
      </c>
    </row>
    <row r="10" spans="1:4" ht="23.4" x14ac:dyDescent="0.3">
      <c r="A10" s="72"/>
      <c r="B10" s="5"/>
      <c r="C10" s="24"/>
      <c r="D10" s="16"/>
    </row>
    <row r="11" spans="1:4" ht="23.4" x14ac:dyDescent="0.3">
      <c r="A11" s="72"/>
      <c r="B11" s="5"/>
      <c r="C11" s="24"/>
      <c r="D11" s="16"/>
    </row>
    <row r="12" spans="1:4" ht="23.4" x14ac:dyDescent="0.3">
      <c r="A12" s="72"/>
      <c r="B12" s="5"/>
      <c r="C12" s="24"/>
      <c r="D12" s="16"/>
    </row>
    <row r="13" spans="1:4" ht="23.4" x14ac:dyDescent="0.3">
      <c r="A13" s="15"/>
      <c r="B13" s="22" t="s">
        <v>27</v>
      </c>
      <c r="C13" s="30">
        <f t="shared" ref="C13" si="0">SUM(C8:C12)</f>
        <v>48.980000000000004</v>
      </c>
      <c r="D13" s="20"/>
    </row>
    <row r="14" spans="1:4" ht="23.4" x14ac:dyDescent="0.3">
      <c r="A14" s="9"/>
      <c r="B14" s="4"/>
      <c r="C14" s="29"/>
      <c r="D14" s="1"/>
    </row>
    <row r="15" spans="1:4" ht="23.4" x14ac:dyDescent="0.3">
      <c r="A15" s="9"/>
      <c r="B15" s="4"/>
      <c r="C15" s="29"/>
      <c r="D15" s="1"/>
    </row>
    <row r="16" spans="1:4" ht="23.4" x14ac:dyDescent="0.3">
      <c r="A16" s="9"/>
      <c r="B16" s="4"/>
      <c r="C16" s="29"/>
      <c r="D16" s="1"/>
    </row>
    <row r="17" spans="1:4" ht="23.4" x14ac:dyDescent="0.3">
      <c r="A17" s="9"/>
      <c r="B17" s="4"/>
      <c r="C17" s="29"/>
      <c r="D17" s="1"/>
    </row>
    <row r="18" spans="1:4" ht="23.4" x14ac:dyDescent="0.3">
      <c r="A18" s="14" t="s">
        <v>23</v>
      </c>
      <c r="B18" s="13"/>
    </row>
    <row r="19" spans="1:4" ht="23.4" x14ac:dyDescent="0.3">
      <c r="A19" s="8"/>
    </row>
    <row r="20" spans="1:4" ht="23.4" x14ac:dyDescent="0.3">
      <c r="A20" s="17" t="s">
        <v>2</v>
      </c>
      <c r="B20" s="18" t="s">
        <v>3</v>
      </c>
      <c r="C20" s="28" t="s">
        <v>4</v>
      </c>
      <c r="D20" s="19" t="s">
        <v>24</v>
      </c>
    </row>
    <row r="21" spans="1:4" ht="23.4" x14ac:dyDescent="0.3">
      <c r="A21" s="72"/>
      <c r="B21" s="5" t="s">
        <v>60</v>
      </c>
      <c r="C21" s="24">
        <v>86.97</v>
      </c>
      <c r="D21" s="16" t="s">
        <v>138</v>
      </c>
    </row>
    <row r="22" spans="1:4" ht="23.4" x14ac:dyDescent="0.3">
      <c r="A22" s="72"/>
      <c r="B22" s="5" t="s">
        <v>69</v>
      </c>
      <c r="C22" s="24">
        <v>12</v>
      </c>
      <c r="D22" s="16" t="s">
        <v>138</v>
      </c>
    </row>
    <row r="23" spans="1:4" ht="23.4" x14ac:dyDescent="0.3">
      <c r="A23" s="72"/>
      <c r="B23" s="5"/>
      <c r="C23" s="24"/>
      <c r="D23" s="16"/>
    </row>
    <row r="24" spans="1:4" ht="23.4" x14ac:dyDescent="0.3">
      <c r="A24" s="72"/>
      <c r="B24" s="5"/>
      <c r="C24" s="24"/>
      <c r="D24" s="16"/>
    </row>
    <row r="25" spans="1:4" ht="23.4" x14ac:dyDescent="0.3">
      <c r="A25" s="72"/>
      <c r="B25" s="5"/>
      <c r="C25" s="24"/>
      <c r="D25" s="16"/>
    </row>
    <row r="26" spans="1:4" ht="23.4" x14ac:dyDescent="0.3">
      <c r="A26" s="72"/>
      <c r="B26" s="5"/>
      <c r="C26" s="24"/>
      <c r="D26" s="16"/>
    </row>
    <row r="27" spans="1:4" ht="23.4" x14ac:dyDescent="0.3">
      <c r="A27" s="72"/>
      <c r="B27" s="5"/>
      <c r="C27" s="24"/>
      <c r="D27" s="16"/>
    </row>
    <row r="28" spans="1:4" ht="23.4" x14ac:dyDescent="0.3">
      <c r="A28" s="72"/>
      <c r="B28" s="5"/>
      <c r="C28" s="24"/>
      <c r="D28" s="16"/>
    </row>
    <row r="29" spans="1:4" ht="23.4" x14ac:dyDescent="0.3">
      <c r="A29" s="72"/>
      <c r="B29" s="5"/>
      <c r="C29" s="24"/>
      <c r="D29" s="16"/>
    </row>
    <row r="30" spans="1:4" ht="23.4" x14ac:dyDescent="0.3">
      <c r="A30" s="72"/>
      <c r="B30" s="5"/>
      <c r="C30" s="24"/>
      <c r="D30" s="16"/>
    </row>
    <row r="31" spans="1:4" ht="23.4" x14ac:dyDescent="0.3">
      <c r="A31" s="72"/>
      <c r="B31" s="5"/>
      <c r="C31" s="24"/>
      <c r="D31" s="16"/>
    </row>
    <row r="32" spans="1:4" ht="23.4" x14ac:dyDescent="0.3">
      <c r="A32" s="72"/>
      <c r="B32" s="5"/>
      <c r="C32" s="24"/>
      <c r="D32" s="16"/>
    </row>
    <row r="33" spans="1:4" ht="23.4" x14ac:dyDescent="0.3">
      <c r="A33" s="15"/>
      <c r="B33" s="7"/>
      <c r="C33" s="31"/>
      <c r="D33" s="16"/>
    </row>
    <row r="34" spans="1:4" ht="23.4" x14ac:dyDescent="0.3">
      <c r="A34" s="15"/>
      <c r="B34" s="22" t="s">
        <v>27</v>
      </c>
      <c r="C34" s="30">
        <f>SUM(C21:C33)</f>
        <v>98.97</v>
      </c>
      <c r="D34" s="20"/>
    </row>
    <row r="41" spans="1:4" ht="23.4" x14ac:dyDescent="0.3">
      <c r="A41" s="12" t="s">
        <v>32</v>
      </c>
      <c r="B41" s="13"/>
    </row>
    <row r="42" spans="1:4" ht="23.4" x14ac:dyDescent="0.3">
      <c r="A42" s="21"/>
    </row>
    <row r="43" spans="1:4" ht="23.4" x14ac:dyDescent="0.3">
      <c r="A43" s="17" t="s">
        <v>2</v>
      </c>
      <c r="B43" s="18" t="s">
        <v>3</v>
      </c>
      <c r="C43" s="28" t="s">
        <v>4</v>
      </c>
      <c r="D43" s="19" t="s">
        <v>24</v>
      </c>
    </row>
    <row r="44" spans="1:4" ht="23.4" x14ac:dyDescent="0.3">
      <c r="A44" s="72"/>
      <c r="B44" s="5" t="s">
        <v>51</v>
      </c>
      <c r="C44" s="24">
        <v>10</v>
      </c>
      <c r="D44" s="16" t="s">
        <v>137</v>
      </c>
    </row>
    <row r="45" spans="1:4" ht="23.4" x14ac:dyDescent="0.3">
      <c r="A45" s="72">
        <v>46046</v>
      </c>
      <c r="B45" s="5" t="s">
        <v>51</v>
      </c>
      <c r="C45" s="24">
        <v>10</v>
      </c>
      <c r="D45" s="16" t="s">
        <v>137</v>
      </c>
    </row>
    <row r="46" spans="1:4" ht="23.4" x14ac:dyDescent="0.3">
      <c r="A46" s="72"/>
      <c r="B46" s="5" t="s">
        <v>117</v>
      </c>
      <c r="C46" s="24">
        <v>30</v>
      </c>
      <c r="D46" s="16" t="s">
        <v>137</v>
      </c>
    </row>
    <row r="47" spans="1:4" ht="23.4" x14ac:dyDescent="0.3">
      <c r="A47" s="72"/>
      <c r="B47" s="5"/>
      <c r="C47" s="24"/>
      <c r="D47" s="16"/>
    </row>
    <row r="48" spans="1:4" ht="23.4" x14ac:dyDescent="0.3">
      <c r="A48" s="72"/>
      <c r="B48" s="5"/>
      <c r="C48" s="24"/>
      <c r="D48" s="16"/>
    </row>
    <row r="49" spans="1:4" ht="23.4" x14ac:dyDescent="0.3">
      <c r="A49" s="72"/>
      <c r="B49" s="5"/>
      <c r="C49" s="24"/>
      <c r="D49" s="16"/>
    </row>
    <row r="50" spans="1:4" ht="23.4" x14ac:dyDescent="0.3">
      <c r="A50" s="72"/>
      <c r="B50" s="5"/>
      <c r="C50" s="24"/>
      <c r="D50" s="16"/>
    </row>
    <row r="51" spans="1:4" ht="23.4" x14ac:dyDescent="0.3">
      <c r="A51" s="72"/>
      <c r="B51" s="5"/>
      <c r="C51" s="24"/>
      <c r="D51" s="16"/>
    </row>
    <row r="52" spans="1:4" ht="23.4" x14ac:dyDescent="0.3">
      <c r="A52" s="72"/>
      <c r="B52" s="5"/>
      <c r="C52" s="24"/>
      <c r="D52" s="16"/>
    </row>
    <row r="53" spans="1:4" ht="23.4" x14ac:dyDescent="0.3">
      <c r="A53" s="72"/>
      <c r="B53" s="5"/>
      <c r="C53" s="24"/>
      <c r="D53" s="16"/>
    </row>
    <row r="54" spans="1:4" ht="23.4" x14ac:dyDescent="0.3">
      <c r="A54" s="72"/>
      <c r="B54" s="5"/>
      <c r="C54" s="24"/>
      <c r="D54" s="16"/>
    </row>
    <row r="55" spans="1:4" ht="23.4" x14ac:dyDescent="0.3">
      <c r="A55" s="72"/>
      <c r="B55" s="5"/>
      <c r="C55" s="24"/>
      <c r="D55" s="16"/>
    </row>
    <row r="56" spans="1:4" ht="23.4" x14ac:dyDescent="0.3">
      <c r="A56" s="72"/>
      <c r="B56" s="5"/>
      <c r="C56" s="24"/>
      <c r="D56" s="16"/>
    </row>
    <row r="57" spans="1:4" ht="23.4" x14ac:dyDescent="0.3">
      <c r="A57" s="72"/>
      <c r="B57" s="5"/>
      <c r="C57" s="24"/>
      <c r="D57" s="16"/>
    </row>
    <row r="58" spans="1:4" ht="23.4" x14ac:dyDescent="0.3">
      <c r="A58" s="72"/>
      <c r="B58" s="5"/>
      <c r="C58" s="24"/>
      <c r="D58" s="16"/>
    </row>
    <row r="59" spans="1:4" ht="23.4" x14ac:dyDescent="0.3">
      <c r="A59" s="72"/>
      <c r="B59" s="5"/>
      <c r="C59" s="24"/>
      <c r="D59" s="16"/>
    </row>
    <row r="60" spans="1:4" ht="23.4" x14ac:dyDescent="0.3">
      <c r="A60" s="72"/>
      <c r="B60" s="5"/>
      <c r="C60" s="24"/>
      <c r="D60" s="16"/>
    </row>
    <row r="61" spans="1:4" ht="23.4" x14ac:dyDescent="0.3">
      <c r="A61" s="72"/>
      <c r="B61" s="5"/>
      <c r="C61" s="24"/>
      <c r="D61" s="16"/>
    </row>
    <row r="62" spans="1:4" ht="23.4" x14ac:dyDescent="0.3">
      <c r="A62" s="15"/>
      <c r="B62" s="22" t="s">
        <v>27</v>
      </c>
      <c r="C62" s="30">
        <f t="shared" ref="C62" si="1">SUM(C44:C61)</f>
        <v>50</v>
      </c>
      <c r="D62" s="20"/>
    </row>
    <row r="78" spans="2:3" ht="23.4" x14ac:dyDescent="0.3">
      <c r="B78" s="10" t="s">
        <v>27</v>
      </c>
      <c r="C78" s="25">
        <f>C13+C34+C62</f>
        <v>197.95</v>
      </c>
    </row>
    <row r="79" spans="2:3" ht="46.8" x14ac:dyDescent="0.3">
      <c r="B79" s="45" t="s">
        <v>33</v>
      </c>
      <c r="C79" s="27">
        <f>C78/3</f>
        <v>65.983333333333334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1134-2F33-4197-BAE6-883266DB3BDE}">
  <dimension ref="A1:D79"/>
  <sheetViews>
    <sheetView topLeftCell="B41" workbookViewId="0">
      <selection activeCell="D45" sqref="D45"/>
    </sheetView>
  </sheetViews>
  <sheetFormatPr defaultRowHeight="14.4" x14ac:dyDescent="0.3"/>
  <cols>
    <col min="1" max="1" width="37.88671875" bestFit="1" customWidth="1"/>
    <col min="2" max="2" width="45.33203125" bestFit="1" customWidth="1"/>
    <col min="3" max="3" width="15.5546875" style="26" bestFit="1" customWidth="1"/>
    <col min="4" max="4" width="29.21875" bestFit="1" customWidth="1"/>
  </cols>
  <sheetData>
    <row r="1" spans="1:4" ht="21" x14ac:dyDescent="0.4">
      <c r="A1" s="39" t="s">
        <v>37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2"/>
      <c r="B8" s="5" t="s">
        <v>72</v>
      </c>
      <c r="C8" s="24">
        <v>4</v>
      </c>
      <c r="D8" s="16" t="s">
        <v>136</v>
      </c>
    </row>
    <row r="9" spans="1:4" ht="23.4" x14ac:dyDescent="0.3">
      <c r="A9" s="72"/>
      <c r="B9" s="5" t="s">
        <v>74</v>
      </c>
      <c r="C9" s="24">
        <v>29.5</v>
      </c>
      <c r="D9" s="16" t="s">
        <v>136</v>
      </c>
    </row>
    <row r="10" spans="1:4" ht="23.4" x14ac:dyDescent="0.3">
      <c r="A10" s="72"/>
      <c r="B10" s="5" t="s">
        <v>79</v>
      </c>
      <c r="C10" s="24">
        <v>8</v>
      </c>
      <c r="D10" s="16" t="s">
        <v>136</v>
      </c>
    </row>
    <row r="11" spans="1:4" ht="23.4" x14ac:dyDescent="0.3">
      <c r="A11" s="72"/>
      <c r="B11" s="5" t="s">
        <v>80</v>
      </c>
      <c r="C11" s="24">
        <v>46</v>
      </c>
      <c r="D11" s="16" t="s">
        <v>136</v>
      </c>
    </row>
    <row r="12" spans="1:4" ht="23.4" x14ac:dyDescent="0.3">
      <c r="A12" s="72"/>
      <c r="B12" s="5"/>
      <c r="C12" s="24"/>
      <c r="D12" s="16"/>
    </row>
    <row r="13" spans="1:4" ht="23.4" x14ac:dyDescent="0.3">
      <c r="A13" s="15"/>
      <c r="B13" s="22" t="s">
        <v>27</v>
      </c>
      <c r="C13" s="30">
        <f>SUM(C8:C12)</f>
        <v>87.5</v>
      </c>
      <c r="D13" s="20"/>
    </row>
    <row r="14" spans="1:4" ht="23.4" x14ac:dyDescent="0.3">
      <c r="A14" s="9"/>
      <c r="B14" s="4"/>
      <c r="C14" s="29"/>
      <c r="D14" s="1"/>
    </row>
    <row r="15" spans="1:4" ht="23.4" x14ac:dyDescent="0.3">
      <c r="A15" s="9"/>
      <c r="B15" s="4"/>
      <c r="C15" s="29"/>
      <c r="D15" s="1"/>
    </row>
    <row r="16" spans="1:4" ht="23.4" x14ac:dyDescent="0.3">
      <c r="A16" s="9"/>
      <c r="B16" s="4"/>
      <c r="C16" s="29"/>
      <c r="D16" s="1"/>
    </row>
    <row r="17" spans="1:4" ht="23.4" x14ac:dyDescent="0.3">
      <c r="A17" s="9"/>
      <c r="B17" s="4"/>
      <c r="C17" s="29"/>
      <c r="D17" s="1"/>
    </row>
    <row r="18" spans="1:4" ht="23.4" x14ac:dyDescent="0.3">
      <c r="A18" s="14" t="s">
        <v>23</v>
      </c>
      <c r="B18" s="13"/>
    </row>
    <row r="19" spans="1:4" ht="23.4" x14ac:dyDescent="0.3">
      <c r="A19" s="8"/>
    </row>
    <row r="20" spans="1:4" ht="23.4" x14ac:dyDescent="0.3">
      <c r="A20" s="17" t="s">
        <v>2</v>
      </c>
      <c r="B20" s="18" t="s">
        <v>3</v>
      </c>
      <c r="C20" s="28" t="s">
        <v>4</v>
      </c>
      <c r="D20" s="19" t="s">
        <v>24</v>
      </c>
    </row>
    <row r="21" spans="1:4" ht="23.4" x14ac:dyDescent="0.3">
      <c r="A21" s="72"/>
      <c r="B21" s="5" t="s">
        <v>60</v>
      </c>
      <c r="C21" s="24">
        <v>84.36</v>
      </c>
      <c r="D21" s="16" t="s">
        <v>138</v>
      </c>
    </row>
    <row r="22" spans="1:4" ht="23.4" x14ac:dyDescent="0.3">
      <c r="A22" s="72"/>
      <c r="B22" s="5" t="s">
        <v>73</v>
      </c>
      <c r="C22" s="24">
        <v>42</v>
      </c>
      <c r="D22" s="16" t="s">
        <v>138</v>
      </c>
    </row>
    <row r="23" spans="1:4" ht="23.4" x14ac:dyDescent="0.3">
      <c r="A23" s="72"/>
      <c r="B23" s="5" t="s">
        <v>76</v>
      </c>
      <c r="C23" s="24">
        <v>10</v>
      </c>
      <c r="D23" s="16" t="s">
        <v>138</v>
      </c>
    </row>
    <row r="24" spans="1:4" ht="23.4" x14ac:dyDescent="0.3">
      <c r="A24" s="72"/>
      <c r="B24" s="5" t="s">
        <v>75</v>
      </c>
      <c r="C24" s="24">
        <v>20</v>
      </c>
      <c r="D24" s="16" t="s">
        <v>138</v>
      </c>
    </row>
    <row r="25" spans="1:4" ht="23.4" x14ac:dyDescent="0.3">
      <c r="A25" s="72"/>
      <c r="B25" s="5" t="s">
        <v>77</v>
      </c>
      <c r="C25" s="24">
        <v>48</v>
      </c>
      <c r="D25" s="16" t="s">
        <v>138</v>
      </c>
    </row>
    <row r="26" spans="1:4" ht="23.4" x14ac:dyDescent="0.3">
      <c r="A26" s="72"/>
      <c r="B26" s="5" t="s">
        <v>78</v>
      </c>
      <c r="C26" s="24">
        <v>11.5</v>
      </c>
      <c r="D26" s="16" t="s">
        <v>138</v>
      </c>
    </row>
    <row r="27" spans="1:4" ht="23.4" x14ac:dyDescent="0.3">
      <c r="A27" s="72"/>
      <c r="B27" s="5" t="s">
        <v>81</v>
      </c>
      <c r="C27" s="24">
        <v>25.84</v>
      </c>
      <c r="D27" s="16" t="s">
        <v>138</v>
      </c>
    </row>
    <row r="28" spans="1:4" ht="23.4" x14ac:dyDescent="0.3">
      <c r="A28" s="72"/>
      <c r="B28" s="5"/>
      <c r="C28" s="24"/>
      <c r="D28" s="16"/>
    </row>
    <row r="29" spans="1:4" ht="23.4" x14ac:dyDescent="0.3">
      <c r="A29" s="72"/>
      <c r="B29" s="5"/>
      <c r="C29" s="24"/>
      <c r="D29" s="16"/>
    </row>
    <row r="30" spans="1:4" ht="23.4" x14ac:dyDescent="0.3">
      <c r="A30" s="72"/>
      <c r="B30" s="5"/>
      <c r="C30" s="24"/>
      <c r="D30" s="16"/>
    </row>
    <row r="31" spans="1:4" ht="23.4" x14ac:dyDescent="0.3">
      <c r="A31" s="72"/>
      <c r="B31" s="5"/>
      <c r="C31" s="24"/>
      <c r="D31" s="16"/>
    </row>
    <row r="32" spans="1:4" ht="23.4" x14ac:dyDescent="0.3">
      <c r="A32" s="72"/>
      <c r="B32" s="5"/>
      <c r="C32" s="24"/>
      <c r="D32" s="16"/>
    </row>
    <row r="33" spans="1:4" ht="23.4" x14ac:dyDescent="0.3">
      <c r="A33" s="15"/>
      <c r="B33" s="7"/>
      <c r="C33" s="31"/>
      <c r="D33" s="16"/>
    </row>
    <row r="34" spans="1:4" ht="23.4" x14ac:dyDescent="0.3">
      <c r="A34" s="15"/>
      <c r="B34" s="22" t="s">
        <v>27</v>
      </c>
      <c r="C34" s="30">
        <f>SUM(C21:C33)</f>
        <v>241.70000000000002</v>
      </c>
      <c r="D34" s="20"/>
    </row>
    <row r="41" spans="1:4" ht="23.4" x14ac:dyDescent="0.3">
      <c r="A41" s="12" t="s">
        <v>32</v>
      </c>
      <c r="B41" s="13"/>
    </row>
    <row r="42" spans="1:4" ht="23.4" x14ac:dyDescent="0.3">
      <c r="A42" s="21"/>
    </row>
    <row r="43" spans="1:4" ht="23.4" x14ac:dyDescent="0.3">
      <c r="A43" s="17" t="s">
        <v>2</v>
      </c>
      <c r="B43" s="18" t="s">
        <v>3</v>
      </c>
      <c r="C43" s="28" t="s">
        <v>4</v>
      </c>
      <c r="D43" s="19" t="s">
        <v>24</v>
      </c>
    </row>
    <row r="44" spans="1:4" ht="23.4" x14ac:dyDescent="0.3">
      <c r="A44" s="72"/>
      <c r="B44" s="5" t="s">
        <v>71</v>
      </c>
      <c r="C44" s="24">
        <v>80</v>
      </c>
      <c r="D44" s="16" t="s">
        <v>137</v>
      </c>
    </row>
    <row r="45" spans="1:4" ht="23.4" x14ac:dyDescent="0.3">
      <c r="A45" s="72"/>
      <c r="B45" s="5" t="s">
        <v>51</v>
      </c>
      <c r="C45" s="24">
        <v>10</v>
      </c>
      <c r="D45" s="16" t="s">
        <v>137</v>
      </c>
    </row>
    <row r="46" spans="1:4" ht="23.4" x14ac:dyDescent="0.3">
      <c r="A46" s="72"/>
      <c r="B46" s="5"/>
      <c r="C46" s="24"/>
      <c r="D46" s="16"/>
    </row>
    <row r="47" spans="1:4" ht="23.4" x14ac:dyDescent="0.3">
      <c r="A47" s="72"/>
      <c r="B47" s="5"/>
      <c r="C47" s="24"/>
      <c r="D47" s="16"/>
    </row>
    <row r="48" spans="1:4" ht="23.4" x14ac:dyDescent="0.3">
      <c r="A48" s="72"/>
      <c r="B48" s="5"/>
      <c r="C48" s="24"/>
      <c r="D48" s="16"/>
    </row>
    <row r="49" spans="1:4" ht="23.4" x14ac:dyDescent="0.3">
      <c r="A49" s="72"/>
      <c r="B49" s="5"/>
      <c r="C49" s="24"/>
      <c r="D49" s="16"/>
    </row>
    <row r="50" spans="1:4" ht="23.4" x14ac:dyDescent="0.3">
      <c r="A50" s="72"/>
      <c r="B50" s="5"/>
      <c r="C50" s="24"/>
      <c r="D50" s="16"/>
    </row>
    <row r="51" spans="1:4" ht="23.4" x14ac:dyDescent="0.3">
      <c r="A51" s="72"/>
      <c r="B51" s="5"/>
      <c r="C51" s="24"/>
      <c r="D51" s="16"/>
    </row>
    <row r="52" spans="1:4" ht="23.4" x14ac:dyDescent="0.3">
      <c r="A52" s="72"/>
      <c r="B52" s="5"/>
      <c r="C52" s="24"/>
      <c r="D52" s="16"/>
    </row>
    <row r="53" spans="1:4" ht="23.4" x14ac:dyDescent="0.3">
      <c r="A53" s="72"/>
      <c r="B53" s="5"/>
      <c r="C53" s="24"/>
      <c r="D53" s="16"/>
    </row>
    <row r="54" spans="1:4" ht="23.4" x14ac:dyDescent="0.3">
      <c r="A54" s="72"/>
      <c r="B54" s="5"/>
      <c r="C54" s="24"/>
      <c r="D54" s="16"/>
    </row>
    <row r="55" spans="1:4" ht="23.4" x14ac:dyDescent="0.3">
      <c r="A55" s="72"/>
      <c r="B55" s="5"/>
      <c r="C55" s="24"/>
      <c r="D55" s="16"/>
    </row>
    <row r="56" spans="1:4" ht="23.4" x14ac:dyDescent="0.3">
      <c r="A56" s="72"/>
      <c r="B56" s="5"/>
      <c r="C56" s="24"/>
      <c r="D56" s="16"/>
    </row>
    <row r="57" spans="1:4" ht="23.4" x14ac:dyDescent="0.3">
      <c r="A57" s="72"/>
      <c r="B57" s="5"/>
      <c r="C57" s="24"/>
      <c r="D57" s="16"/>
    </row>
    <row r="58" spans="1:4" ht="23.4" x14ac:dyDescent="0.3">
      <c r="A58" s="72"/>
      <c r="B58" s="5"/>
      <c r="C58" s="24"/>
      <c r="D58" s="16"/>
    </row>
    <row r="59" spans="1:4" ht="23.4" x14ac:dyDescent="0.3">
      <c r="A59" s="72"/>
      <c r="B59" s="5"/>
      <c r="C59" s="24"/>
      <c r="D59" s="16"/>
    </row>
    <row r="60" spans="1:4" ht="23.4" x14ac:dyDescent="0.3">
      <c r="A60" s="72"/>
      <c r="B60" s="5"/>
      <c r="C60" s="24"/>
      <c r="D60" s="16"/>
    </row>
    <row r="61" spans="1:4" ht="23.4" x14ac:dyDescent="0.3">
      <c r="A61" s="72"/>
      <c r="B61" s="5"/>
      <c r="C61" s="24"/>
      <c r="D61" s="16"/>
    </row>
    <row r="62" spans="1:4" ht="23.4" x14ac:dyDescent="0.3">
      <c r="A62" s="15"/>
      <c r="B62" s="22" t="s">
        <v>27</v>
      </c>
      <c r="C62" s="30">
        <f>SUM(C44:C61)</f>
        <v>90</v>
      </c>
      <c r="D62" s="20"/>
    </row>
    <row r="78" spans="2:3" ht="23.4" x14ac:dyDescent="0.3">
      <c r="B78" s="10" t="s">
        <v>27</v>
      </c>
      <c r="C78" s="25">
        <f>C13+C34+C62</f>
        <v>419.20000000000005</v>
      </c>
    </row>
    <row r="79" spans="2:3" ht="46.8" x14ac:dyDescent="0.3">
      <c r="B79" s="45" t="s">
        <v>33</v>
      </c>
      <c r="C79" s="27">
        <f>C78/3</f>
        <v>139.73333333333335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4171-C5D7-4C1C-A779-4E0883AEA9E6}">
  <dimension ref="A1:D83"/>
  <sheetViews>
    <sheetView workbookViewId="0">
      <selection activeCell="D49" sqref="D49"/>
    </sheetView>
  </sheetViews>
  <sheetFormatPr defaultRowHeight="14.4" x14ac:dyDescent="0.3"/>
  <cols>
    <col min="1" max="1" width="37.109375" bestFit="1" customWidth="1"/>
    <col min="2" max="2" width="41" bestFit="1" customWidth="1"/>
    <col min="3" max="3" width="14.44140625" style="26" bestFit="1" customWidth="1"/>
    <col min="4" max="4" width="29.21875" bestFit="1" customWidth="1"/>
  </cols>
  <sheetData>
    <row r="1" spans="1:4" ht="21" x14ac:dyDescent="0.4">
      <c r="A1" s="39" t="s">
        <v>38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7"/>
      <c r="B8" s="5" t="s">
        <v>73</v>
      </c>
      <c r="C8" s="24">
        <v>42</v>
      </c>
      <c r="D8" s="16" t="s">
        <v>136</v>
      </c>
    </row>
    <row r="9" spans="1:4" ht="23.4" x14ac:dyDescent="0.3">
      <c r="A9" s="77"/>
      <c r="B9" s="5" t="s">
        <v>86</v>
      </c>
      <c r="C9" s="24">
        <v>38</v>
      </c>
      <c r="D9" s="16" t="s">
        <v>136</v>
      </c>
    </row>
    <row r="10" spans="1:4" ht="23.4" x14ac:dyDescent="0.3">
      <c r="A10" s="77"/>
      <c r="B10" s="5" t="s">
        <v>87</v>
      </c>
      <c r="C10" s="24">
        <v>35.950000000000003</v>
      </c>
      <c r="D10" s="16" t="s">
        <v>136</v>
      </c>
    </row>
    <row r="11" spans="1:4" ht="23.4" x14ac:dyDescent="0.3">
      <c r="A11" s="77"/>
      <c r="B11" s="5" t="s">
        <v>89</v>
      </c>
      <c r="C11" s="24">
        <v>22</v>
      </c>
      <c r="D11" s="16" t="s">
        <v>136</v>
      </c>
    </row>
    <row r="12" spans="1:4" ht="23.4" x14ac:dyDescent="0.3">
      <c r="A12" s="77"/>
      <c r="B12" s="5" t="s">
        <v>95</v>
      </c>
      <c r="C12" s="24">
        <v>62.2</v>
      </c>
      <c r="D12" s="16" t="s">
        <v>136</v>
      </c>
    </row>
    <row r="13" spans="1:4" ht="23.4" x14ac:dyDescent="0.3">
      <c r="A13" s="77">
        <v>46112</v>
      </c>
      <c r="B13" s="5" t="s">
        <v>101</v>
      </c>
      <c r="C13" s="24">
        <v>20</v>
      </c>
      <c r="D13" s="16" t="s">
        <v>136</v>
      </c>
    </row>
    <row r="14" spans="1:4" ht="23.4" x14ac:dyDescent="0.3">
      <c r="A14" s="77"/>
      <c r="B14" s="5"/>
      <c r="C14" s="24"/>
      <c r="D14" s="16"/>
    </row>
    <row r="15" spans="1:4" ht="23.4" x14ac:dyDescent="0.3">
      <c r="A15" s="77"/>
      <c r="B15" s="5"/>
      <c r="C15" s="24"/>
      <c r="D15" s="16"/>
    </row>
    <row r="16" spans="1:4" ht="23.4" x14ac:dyDescent="0.3">
      <c r="A16" s="77"/>
      <c r="B16" s="5"/>
      <c r="C16" s="24"/>
      <c r="D16" s="16"/>
    </row>
    <row r="17" spans="1:4" ht="23.4" x14ac:dyDescent="0.3">
      <c r="A17" s="79"/>
      <c r="B17" s="22" t="s">
        <v>27</v>
      </c>
      <c r="C17" s="30">
        <f>SUM(C8:C16)</f>
        <v>220.14999999999998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23</v>
      </c>
      <c r="B22" s="13"/>
    </row>
    <row r="23" spans="1:4" ht="23.4" x14ac:dyDescent="0.3">
      <c r="A23" s="8"/>
    </row>
    <row r="24" spans="1:4" ht="23.4" x14ac:dyDescent="0.3">
      <c r="A24" s="17" t="s">
        <v>2</v>
      </c>
      <c r="B24" s="18" t="s">
        <v>3</v>
      </c>
      <c r="C24" s="28" t="s">
        <v>4</v>
      </c>
      <c r="D24" s="19" t="s">
        <v>24</v>
      </c>
    </row>
    <row r="25" spans="1:4" ht="23.4" x14ac:dyDescent="0.3">
      <c r="A25" s="77">
        <v>46082</v>
      </c>
      <c r="B25" s="5" t="s">
        <v>82</v>
      </c>
      <c r="C25" s="24">
        <v>48</v>
      </c>
      <c r="D25" s="16" t="s">
        <v>138</v>
      </c>
    </row>
    <row r="26" spans="1:4" ht="23.4" x14ac:dyDescent="0.3">
      <c r="A26" s="77">
        <v>46083</v>
      </c>
      <c r="B26" s="5" t="s">
        <v>83</v>
      </c>
      <c r="C26" s="24">
        <v>23</v>
      </c>
      <c r="D26" s="16" t="s">
        <v>138</v>
      </c>
    </row>
    <row r="27" spans="1:4" ht="23.4" x14ac:dyDescent="0.3">
      <c r="A27" s="77"/>
      <c r="B27" s="5" t="s">
        <v>85</v>
      </c>
      <c r="C27" s="24">
        <v>28</v>
      </c>
      <c r="D27" s="16" t="s">
        <v>138</v>
      </c>
    </row>
    <row r="28" spans="1:4" ht="23.4" x14ac:dyDescent="0.3">
      <c r="A28" s="77"/>
      <c r="B28" s="5" t="s">
        <v>90</v>
      </c>
      <c r="C28" s="24">
        <v>34.950000000000003</v>
      </c>
      <c r="D28" s="16" t="s">
        <v>138</v>
      </c>
    </row>
    <row r="29" spans="1:4" ht="23.4" x14ac:dyDescent="0.3">
      <c r="A29" s="77"/>
      <c r="B29" s="5" t="s">
        <v>92</v>
      </c>
      <c r="C29" s="24">
        <v>8.16</v>
      </c>
      <c r="D29" s="16" t="s">
        <v>138</v>
      </c>
    </row>
    <row r="30" spans="1:4" ht="23.4" x14ac:dyDescent="0.3">
      <c r="A30" s="77">
        <v>46089</v>
      </c>
      <c r="B30" s="5" t="s">
        <v>93</v>
      </c>
      <c r="C30" s="24">
        <v>38</v>
      </c>
      <c r="D30" s="16" t="s">
        <v>138</v>
      </c>
    </row>
    <row r="31" spans="1:4" ht="23.4" x14ac:dyDescent="0.3">
      <c r="A31" s="77">
        <v>46091</v>
      </c>
      <c r="B31" s="5" t="s">
        <v>96</v>
      </c>
      <c r="C31" s="24">
        <v>39</v>
      </c>
      <c r="D31" s="16" t="s">
        <v>138</v>
      </c>
    </row>
    <row r="32" spans="1:4" ht="23.4" x14ac:dyDescent="0.3">
      <c r="A32" s="77"/>
      <c r="B32" s="5" t="s">
        <v>97</v>
      </c>
      <c r="C32" s="24">
        <v>4</v>
      </c>
      <c r="D32" s="16" t="s">
        <v>138</v>
      </c>
    </row>
    <row r="33" spans="1:4" ht="23.4" x14ac:dyDescent="0.3">
      <c r="A33" s="77">
        <v>46093</v>
      </c>
      <c r="B33" s="5" t="s">
        <v>60</v>
      </c>
      <c r="C33" s="24">
        <v>124.63</v>
      </c>
      <c r="D33" s="16" t="s">
        <v>138</v>
      </c>
    </row>
    <row r="34" spans="1:4" ht="23.4" x14ac:dyDescent="0.3">
      <c r="A34" s="77"/>
      <c r="B34" s="5" t="s">
        <v>98</v>
      </c>
      <c r="C34" s="24">
        <v>22</v>
      </c>
      <c r="D34" s="16" t="s">
        <v>138</v>
      </c>
    </row>
    <row r="35" spans="1:4" ht="23.4" x14ac:dyDescent="0.3">
      <c r="A35" s="77"/>
      <c r="B35" s="5"/>
      <c r="C35" s="24"/>
      <c r="D35" s="16"/>
    </row>
    <row r="36" spans="1:4" ht="23.4" x14ac:dyDescent="0.3">
      <c r="A36" s="77"/>
      <c r="B36" s="5"/>
      <c r="C36" s="24"/>
      <c r="D36" s="16"/>
    </row>
    <row r="37" spans="1:4" ht="23.4" x14ac:dyDescent="0.3">
      <c r="A37" s="79"/>
      <c r="B37" s="7"/>
      <c r="C37" s="31"/>
      <c r="D37" s="16"/>
    </row>
    <row r="38" spans="1:4" ht="23.4" x14ac:dyDescent="0.3">
      <c r="A38" s="79"/>
      <c r="B38" s="22" t="s">
        <v>27</v>
      </c>
      <c r="C38" s="30">
        <f t="shared" ref="C38" si="0">SUM(C25:C37)</f>
        <v>369.74</v>
      </c>
      <c r="D38" s="20"/>
    </row>
    <row r="45" spans="1:4" ht="23.4" x14ac:dyDescent="0.3">
      <c r="A45" s="12" t="s">
        <v>32</v>
      </c>
      <c r="B45" s="13"/>
    </row>
    <row r="46" spans="1:4" ht="23.4" x14ac:dyDescent="0.3">
      <c r="A46" s="21"/>
    </row>
    <row r="47" spans="1:4" ht="23.4" x14ac:dyDescent="0.3">
      <c r="A47" s="17" t="s">
        <v>2</v>
      </c>
      <c r="B47" s="18" t="s">
        <v>3</v>
      </c>
      <c r="C47" s="28" t="s">
        <v>4</v>
      </c>
      <c r="D47" s="19" t="s">
        <v>24</v>
      </c>
    </row>
    <row r="48" spans="1:4" ht="23.4" x14ac:dyDescent="0.3">
      <c r="A48" s="77"/>
      <c r="B48" s="5" t="s">
        <v>84</v>
      </c>
      <c r="C48" s="24">
        <v>1</v>
      </c>
      <c r="D48" s="16" t="s">
        <v>137</v>
      </c>
    </row>
    <row r="49" spans="1:4" ht="23.4" x14ac:dyDescent="0.3">
      <c r="A49" s="77"/>
      <c r="B49" s="5" t="s">
        <v>91</v>
      </c>
      <c r="C49" s="24">
        <v>25</v>
      </c>
      <c r="D49" s="16" t="s">
        <v>137</v>
      </c>
    </row>
    <row r="50" spans="1:4" ht="23.4" x14ac:dyDescent="0.3">
      <c r="A50" s="77"/>
      <c r="B50" s="5"/>
      <c r="C50" s="24"/>
      <c r="D50" s="16"/>
    </row>
    <row r="51" spans="1:4" ht="23.4" x14ac:dyDescent="0.3">
      <c r="A51" s="77"/>
      <c r="B51" s="5"/>
      <c r="C51" s="24"/>
      <c r="D51" s="16"/>
    </row>
    <row r="52" spans="1:4" ht="23.4" x14ac:dyDescent="0.3">
      <c r="A52" s="77"/>
      <c r="B52" s="5"/>
      <c r="C52" s="24"/>
      <c r="D52" s="16"/>
    </row>
    <row r="53" spans="1:4" ht="23.4" x14ac:dyDescent="0.3">
      <c r="A53" s="77"/>
      <c r="B53" s="5"/>
      <c r="C53" s="24"/>
      <c r="D53" s="16"/>
    </row>
    <row r="54" spans="1:4" ht="23.4" x14ac:dyDescent="0.3">
      <c r="A54" s="77"/>
      <c r="B54" s="5"/>
      <c r="C54" s="24"/>
      <c r="D54" s="16"/>
    </row>
    <row r="55" spans="1:4" ht="23.4" x14ac:dyDescent="0.3">
      <c r="A55" s="77"/>
      <c r="B55" s="5"/>
      <c r="C55" s="24"/>
      <c r="D55" s="16"/>
    </row>
    <row r="56" spans="1:4" ht="23.4" x14ac:dyDescent="0.3">
      <c r="A56" s="77"/>
      <c r="B56" s="5"/>
      <c r="C56" s="24"/>
      <c r="D56" s="16"/>
    </row>
    <row r="57" spans="1:4" ht="23.4" x14ac:dyDescent="0.3">
      <c r="A57" s="77"/>
      <c r="B57" s="5"/>
      <c r="C57" s="24"/>
      <c r="D57" s="16"/>
    </row>
    <row r="58" spans="1:4" ht="23.4" x14ac:dyDescent="0.3">
      <c r="A58" s="77"/>
      <c r="B58" s="5"/>
      <c r="C58" s="24"/>
      <c r="D58" s="16"/>
    </row>
    <row r="59" spans="1:4" ht="23.4" x14ac:dyDescent="0.3">
      <c r="A59" s="77"/>
      <c r="B59" s="5"/>
      <c r="C59" s="24"/>
      <c r="D59" s="16"/>
    </row>
    <row r="60" spans="1:4" ht="23.4" x14ac:dyDescent="0.3">
      <c r="A60" s="77"/>
      <c r="B60" s="5"/>
      <c r="C60" s="24"/>
      <c r="D60" s="16"/>
    </row>
    <row r="61" spans="1:4" ht="23.4" x14ac:dyDescent="0.3">
      <c r="A61" s="77"/>
      <c r="B61" s="5"/>
      <c r="C61" s="24"/>
      <c r="D61" s="16"/>
    </row>
    <row r="62" spans="1:4" ht="23.4" x14ac:dyDescent="0.3">
      <c r="A62" s="77"/>
      <c r="B62" s="5"/>
      <c r="C62" s="24"/>
      <c r="D62" s="16"/>
    </row>
    <row r="63" spans="1:4" ht="23.4" x14ac:dyDescent="0.3">
      <c r="A63" s="77"/>
      <c r="B63" s="5"/>
      <c r="C63" s="24"/>
      <c r="D63" s="16"/>
    </row>
    <row r="64" spans="1:4" ht="23.4" x14ac:dyDescent="0.3">
      <c r="A64" s="77"/>
      <c r="B64" s="5"/>
      <c r="C64" s="24"/>
      <c r="D64" s="16"/>
    </row>
    <row r="65" spans="1:4" ht="23.4" x14ac:dyDescent="0.3">
      <c r="A65" s="77"/>
      <c r="B65" s="5"/>
      <c r="C65" s="24"/>
      <c r="D65" s="16"/>
    </row>
    <row r="66" spans="1:4" ht="23.4" x14ac:dyDescent="0.3">
      <c r="A66" s="79"/>
      <c r="B66" s="22" t="s">
        <v>27</v>
      </c>
      <c r="C66" s="30">
        <f>SUM(C48:C65)</f>
        <v>26</v>
      </c>
      <c r="D66" s="20"/>
    </row>
    <row r="82" spans="2:3" ht="23.4" x14ac:dyDescent="0.3">
      <c r="B82" s="10" t="s">
        <v>27</v>
      </c>
      <c r="C82" s="25">
        <f>C17+C38+C66</f>
        <v>615.89</v>
      </c>
    </row>
    <row r="83" spans="2:3" ht="46.8" x14ac:dyDescent="0.3">
      <c r="B83" s="45" t="s">
        <v>33</v>
      </c>
      <c r="C83" s="27">
        <f>C82/3</f>
        <v>205.29666666666665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C878-9035-4FB4-B0F4-82113DCD160F}">
  <dimension ref="A1:D83"/>
  <sheetViews>
    <sheetView topLeftCell="A42" workbookViewId="0">
      <selection activeCell="D48" sqref="D48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39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7">
        <v>46130</v>
      </c>
      <c r="B8" s="5" t="s">
        <v>105</v>
      </c>
      <c r="C8" s="24">
        <v>22</v>
      </c>
      <c r="D8" s="16" t="s">
        <v>136</v>
      </c>
    </row>
    <row r="9" spans="1:4" ht="23.4" x14ac:dyDescent="0.3">
      <c r="A9" s="77"/>
      <c r="B9" s="5" t="s">
        <v>108</v>
      </c>
      <c r="C9" s="24">
        <v>8</v>
      </c>
      <c r="D9" s="16" t="s">
        <v>136</v>
      </c>
    </row>
    <row r="10" spans="1:4" ht="23.4" x14ac:dyDescent="0.3">
      <c r="A10" s="77"/>
      <c r="B10" s="5"/>
      <c r="C10" s="24"/>
      <c r="D10" s="16"/>
    </row>
    <row r="11" spans="1:4" ht="23.4" x14ac:dyDescent="0.3">
      <c r="A11" s="77"/>
      <c r="B11" s="5"/>
      <c r="C11" s="24"/>
      <c r="D11" s="16"/>
    </row>
    <row r="12" spans="1:4" ht="23.4" x14ac:dyDescent="0.3">
      <c r="A12" s="77"/>
      <c r="B12" s="5"/>
      <c r="C12" s="24"/>
      <c r="D12" s="16"/>
    </row>
    <row r="13" spans="1:4" ht="23.4" x14ac:dyDescent="0.3">
      <c r="A13" s="77"/>
      <c r="B13" s="5"/>
      <c r="C13" s="24"/>
      <c r="D13" s="16"/>
    </row>
    <row r="14" spans="1:4" ht="23.4" x14ac:dyDescent="0.3">
      <c r="A14" s="77"/>
      <c r="B14" s="5"/>
      <c r="C14" s="24"/>
      <c r="D14" s="16"/>
    </row>
    <row r="15" spans="1:4" ht="23.4" x14ac:dyDescent="0.3">
      <c r="A15" s="77"/>
      <c r="B15" s="5"/>
      <c r="C15" s="24"/>
      <c r="D15" s="16"/>
    </row>
    <row r="16" spans="1:4" ht="23.4" x14ac:dyDescent="0.3">
      <c r="A16" s="77"/>
      <c r="B16" s="5"/>
      <c r="C16" s="24"/>
      <c r="D16" s="16"/>
    </row>
    <row r="17" spans="1:4" ht="23.4" x14ac:dyDescent="0.3">
      <c r="A17" s="79"/>
      <c r="B17" s="22" t="s">
        <v>27</v>
      </c>
      <c r="C17" s="30">
        <f>SUM(C8:C16)</f>
        <v>30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23</v>
      </c>
      <c r="B22" s="13"/>
    </row>
    <row r="23" spans="1:4" ht="23.4" x14ac:dyDescent="0.3">
      <c r="A23" s="8"/>
    </row>
    <row r="24" spans="1:4" ht="23.4" x14ac:dyDescent="0.3">
      <c r="A24" s="17" t="s">
        <v>2</v>
      </c>
      <c r="B24" s="18" t="s">
        <v>3</v>
      </c>
      <c r="C24" s="28" t="s">
        <v>4</v>
      </c>
      <c r="D24" s="19" t="s">
        <v>24</v>
      </c>
    </row>
    <row r="25" spans="1:4" ht="23.4" x14ac:dyDescent="0.3">
      <c r="A25" s="77"/>
      <c r="B25" s="5" t="s">
        <v>103</v>
      </c>
      <c r="C25" s="24">
        <v>17.399999999999999</v>
      </c>
      <c r="D25" s="16" t="s">
        <v>138</v>
      </c>
    </row>
    <row r="26" spans="1:4" ht="23.4" x14ac:dyDescent="0.3">
      <c r="A26" s="77"/>
      <c r="B26" s="5" t="s">
        <v>104</v>
      </c>
      <c r="C26" s="24">
        <v>11.5</v>
      </c>
      <c r="D26" s="16" t="s">
        <v>138</v>
      </c>
    </row>
    <row r="27" spans="1:4" ht="23.4" x14ac:dyDescent="0.3">
      <c r="A27" s="77">
        <v>46124</v>
      </c>
      <c r="B27" s="5" t="s">
        <v>60</v>
      </c>
      <c r="C27" s="24">
        <v>110.31</v>
      </c>
      <c r="D27" s="16" t="s">
        <v>138</v>
      </c>
    </row>
    <row r="28" spans="1:4" ht="23.4" x14ac:dyDescent="0.3">
      <c r="A28" s="77"/>
      <c r="B28" s="5" t="s">
        <v>107</v>
      </c>
      <c r="C28" s="24">
        <v>2</v>
      </c>
      <c r="D28" s="16" t="s">
        <v>138</v>
      </c>
    </row>
    <row r="29" spans="1:4" ht="23.4" x14ac:dyDescent="0.3">
      <c r="A29" s="77"/>
      <c r="B29" s="5" t="s">
        <v>126</v>
      </c>
      <c r="C29" s="24">
        <v>30</v>
      </c>
      <c r="D29" s="16" t="s">
        <v>138</v>
      </c>
    </row>
    <row r="30" spans="1:4" ht="23.4" x14ac:dyDescent="0.3">
      <c r="A30" s="77"/>
      <c r="B30" s="5"/>
      <c r="C30" s="24"/>
      <c r="D30" s="16"/>
    </row>
    <row r="31" spans="1:4" ht="23.4" x14ac:dyDescent="0.3">
      <c r="A31" s="77"/>
      <c r="B31" s="5"/>
      <c r="C31" s="24"/>
      <c r="D31" s="16"/>
    </row>
    <row r="32" spans="1:4" ht="23.4" x14ac:dyDescent="0.3">
      <c r="A32" s="77"/>
      <c r="B32" s="5"/>
      <c r="C32" s="24"/>
      <c r="D32" s="16"/>
    </row>
    <row r="33" spans="1:4" ht="23.4" x14ac:dyDescent="0.3">
      <c r="A33" s="77"/>
      <c r="B33" s="5"/>
      <c r="C33" s="24"/>
      <c r="D33" s="16"/>
    </row>
    <row r="34" spans="1:4" ht="23.4" x14ac:dyDescent="0.3">
      <c r="A34" s="77"/>
      <c r="B34" s="5"/>
      <c r="C34" s="24"/>
      <c r="D34" s="16"/>
    </row>
    <row r="35" spans="1:4" ht="23.4" x14ac:dyDescent="0.3">
      <c r="A35" s="77"/>
      <c r="B35" s="5"/>
      <c r="C35" s="24"/>
      <c r="D35" s="16"/>
    </row>
    <row r="36" spans="1:4" ht="23.4" x14ac:dyDescent="0.3">
      <c r="A36" s="77"/>
      <c r="B36" s="5"/>
      <c r="C36" s="24"/>
      <c r="D36" s="16"/>
    </row>
    <row r="37" spans="1:4" ht="23.4" x14ac:dyDescent="0.3">
      <c r="A37" s="79"/>
      <c r="B37" s="7"/>
      <c r="C37" s="31"/>
      <c r="D37" s="16"/>
    </row>
    <row r="38" spans="1:4" ht="23.4" x14ac:dyDescent="0.3">
      <c r="A38" s="79"/>
      <c r="B38" s="22" t="s">
        <v>27</v>
      </c>
      <c r="C38" s="30">
        <f>SUM(C25:C37)</f>
        <v>171.21</v>
      </c>
      <c r="D38" s="20"/>
    </row>
    <row r="45" spans="1:4" ht="23.4" x14ac:dyDescent="0.3">
      <c r="A45" s="12" t="s">
        <v>32</v>
      </c>
      <c r="B45" s="13"/>
    </row>
    <row r="46" spans="1:4" ht="23.4" x14ac:dyDescent="0.3">
      <c r="A46" s="21"/>
    </row>
    <row r="47" spans="1:4" ht="23.4" x14ac:dyDescent="0.3">
      <c r="A47" s="17" t="s">
        <v>2</v>
      </c>
      <c r="B47" s="18" t="s">
        <v>3</v>
      </c>
      <c r="C47" s="28" t="s">
        <v>4</v>
      </c>
      <c r="D47" s="19" t="s">
        <v>24</v>
      </c>
    </row>
    <row r="48" spans="1:4" ht="23.4" x14ac:dyDescent="0.3">
      <c r="A48" s="77"/>
      <c r="B48" s="5"/>
      <c r="C48" s="24"/>
      <c r="D48" s="16" t="s">
        <v>137</v>
      </c>
    </row>
    <row r="49" spans="1:4" ht="23.4" x14ac:dyDescent="0.3">
      <c r="A49" s="77"/>
      <c r="B49" s="5"/>
      <c r="C49" s="24"/>
      <c r="D49" s="16"/>
    </row>
    <row r="50" spans="1:4" ht="23.4" x14ac:dyDescent="0.3">
      <c r="A50" s="77"/>
      <c r="B50" s="5"/>
      <c r="C50" s="24"/>
      <c r="D50" s="16"/>
    </row>
    <row r="51" spans="1:4" ht="23.4" x14ac:dyDescent="0.3">
      <c r="A51" s="77"/>
      <c r="B51" s="5"/>
      <c r="C51" s="24"/>
      <c r="D51" s="16"/>
    </row>
    <row r="52" spans="1:4" ht="23.4" x14ac:dyDescent="0.3">
      <c r="A52" s="77"/>
      <c r="B52" s="5"/>
      <c r="C52" s="24"/>
      <c r="D52" s="16"/>
    </row>
    <row r="53" spans="1:4" ht="23.4" x14ac:dyDescent="0.3">
      <c r="A53" s="77"/>
      <c r="B53" s="5"/>
      <c r="C53" s="24"/>
      <c r="D53" s="16"/>
    </row>
    <row r="54" spans="1:4" ht="23.4" x14ac:dyDescent="0.3">
      <c r="A54" s="77"/>
      <c r="B54" s="5"/>
      <c r="C54" s="24"/>
      <c r="D54" s="16"/>
    </row>
    <row r="55" spans="1:4" ht="23.4" x14ac:dyDescent="0.3">
      <c r="A55" s="77"/>
      <c r="B55" s="5"/>
      <c r="C55" s="24"/>
      <c r="D55" s="16"/>
    </row>
    <row r="56" spans="1:4" ht="23.4" x14ac:dyDescent="0.3">
      <c r="A56" s="77"/>
      <c r="B56" s="5"/>
      <c r="C56" s="24"/>
      <c r="D56" s="16"/>
    </row>
    <row r="57" spans="1:4" ht="23.4" x14ac:dyDescent="0.3">
      <c r="A57" s="77"/>
      <c r="B57" s="5"/>
      <c r="C57" s="24"/>
      <c r="D57" s="16"/>
    </row>
    <row r="58" spans="1:4" ht="23.4" x14ac:dyDescent="0.3">
      <c r="A58" s="77"/>
      <c r="B58" s="5"/>
      <c r="C58" s="24"/>
      <c r="D58" s="16"/>
    </row>
    <row r="59" spans="1:4" ht="23.4" x14ac:dyDescent="0.3">
      <c r="A59" s="77"/>
      <c r="B59" s="5"/>
      <c r="C59" s="24"/>
      <c r="D59" s="16"/>
    </row>
    <row r="60" spans="1:4" ht="23.4" x14ac:dyDescent="0.3">
      <c r="A60" s="77"/>
      <c r="B60" s="5"/>
      <c r="C60" s="24"/>
      <c r="D60" s="16"/>
    </row>
    <row r="61" spans="1:4" ht="23.4" x14ac:dyDescent="0.3">
      <c r="A61" s="77"/>
      <c r="B61" s="5"/>
      <c r="C61" s="24"/>
      <c r="D61" s="16"/>
    </row>
    <row r="62" spans="1:4" ht="23.4" x14ac:dyDescent="0.3">
      <c r="A62" s="77"/>
      <c r="B62" s="5"/>
      <c r="C62" s="24"/>
      <c r="D62" s="16"/>
    </row>
    <row r="63" spans="1:4" ht="23.4" x14ac:dyDescent="0.3">
      <c r="A63" s="77"/>
      <c r="B63" s="5"/>
      <c r="C63" s="24"/>
      <c r="D63" s="16"/>
    </row>
    <row r="64" spans="1:4" ht="23.4" x14ac:dyDescent="0.3">
      <c r="A64" s="77"/>
      <c r="B64" s="5"/>
      <c r="C64" s="24"/>
      <c r="D64" s="16"/>
    </row>
    <row r="65" spans="1:4" ht="23.4" x14ac:dyDescent="0.3">
      <c r="A65" s="77"/>
      <c r="B65" s="5"/>
      <c r="C65" s="24"/>
      <c r="D65" s="16"/>
    </row>
    <row r="66" spans="1:4" ht="23.4" x14ac:dyDescent="0.3">
      <c r="A66" s="79"/>
      <c r="B66" s="22" t="s">
        <v>27</v>
      </c>
      <c r="C66" s="30">
        <f>SUM(C48:C65)</f>
        <v>0</v>
      </c>
      <c r="D66" s="20"/>
    </row>
    <row r="82" spans="2:3" ht="23.4" x14ac:dyDescent="0.3">
      <c r="B82" s="10" t="s">
        <v>27</v>
      </c>
      <c r="C82" s="25">
        <f>C17+C38+C66</f>
        <v>201.21</v>
      </c>
    </row>
    <row r="83" spans="2:3" ht="46.8" x14ac:dyDescent="0.3">
      <c r="B83" s="45" t="s">
        <v>33</v>
      </c>
      <c r="C83" s="27">
        <f>C82/3</f>
        <v>67.070000000000007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EEBA-2698-471A-8AAE-6E339FAAF40E}">
  <dimension ref="A1:D99"/>
  <sheetViews>
    <sheetView topLeftCell="A67" workbookViewId="0">
      <selection activeCell="C85" sqref="C85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40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7"/>
      <c r="B8" s="5" t="s">
        <v>128</v>
      </c>
      <c r="C8" s="24">
        <v>8</v>
      </c>
      <c r="D8" s="16" t="s">
        <v>136</v>
      </c>
    </row>
    <row r="9" spans="1:4" ht="23.4" x14ac:dyDescent="0.3">
      <c r="A9" s="77"/>
      <c r="B9" s="5" t="s">
        <v>129</v>
      </c>
      <c r="C9" s="24">
        <v>35.9</v>
      </c>
      <c r="D9" s="16" t="s">
        <v>136</v>
      </c>
    </row>
    <row r="10" spans="1:4" ht="23.4" x14ac:dyDescent="0.3">
      <c r="A10" s="77"/>
      <c r="B10" s="5" t="s">
        <v>130</v>
      </c>
      <c r="C10" s="24">
        <v>24</v>
      </c>
      <c r="D10" s="16" t="s">
        <v>136</v>
      </c>
    </row>
    <row r="11" spans="1:4" ht="23.4" x14ac:dyDescent="0.3">
      <c r="A11" s="77"/>
      <c r="B11" s="5"/>
      <c r="C11" s="24"/>
      <c r="D11" s="16"/>
    </row>
    <row r="12" spans="1:4" ht="23.4" x14ac:dyDescent="0.3">
      <c r="A12" s="77"/>
      <c r="B12" s="5"/>
      <c r="C12" s="24"/>
      <c r="D12" s="16"/>
    </row>
    <row r="13" spans="1:4" ht="23.4" x14ac:dyDescent="0.3">
      <c r="A13" s="77"/>
      <c r="B13" s="5"/>
      <c r="C13" s="24"/>
      <c r="D13" s="16"/>
    </row>
    <row r="14" spans="1:4" ht="23.4" x14ac:dyDescent="0.3">
      <c r="A14" s="77"/>
      <c r="B14" s="5"/>
      <c r="C14" s="24"/>
      <c r="D14" s="16"/>
    </row>
    <row r="15" spans="1:4" ht="23.4" x14ac:dyDescent="0.3">
      <c r="A15" s="77"/>
      <c r="B15" s="5"/>
      <c r="C15" s="24"/>
      <c r="D15" s="16"/>
    </row>
    <row r="16" spans="1:4" ht="23.4" x14ac:dyDescent="0.3">
      <c r="A16" s="77"/>
      <c r="B16" s="5"/>
      <c r="C16" s="24"/>
      <c r="D16" s="16"/>
    </row>
    <row r="17" spans="1:4" ht="23.4" x14ac:dyDescent="0.3">
      <c r="A17" s="79"/>
      <c r="B17" s="22" t="s">
        <v>27</v>
      </c>
      <c r="C17" s="30">
        <f>SUM(C8:C16)</f>
        <v>67.900000000000006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23</v>
      </c>
      <c r="B22" s="13"/>
    </row>
    <row r="23" spans="1:4" ht="23.4" x14ac:dyDescent="0.3">
      <c r="A23" s="8"/>
    </row>
    <row r="24" spans="1:4" ht="23.4" x14ac:dyDescent="0.3">
      <c r="A24" s="17" t="s">
        <v>2</v>
      </c>
      <c r="B24" s="18" t="s">
        <v>3</v>
      </c>
      <c r="C24" s="28" t="s">
        <v>4</v>
      </c>
      <c r="D24" s="19" t="s">
        <v>24</v>
      </c>
    </row>
    <row r="25" spans="1:4" ht="23.4" x14ac:dyDescent="0.3">
      <c r="A25" s="77"/>
      <c r="B25" s="5" t="s">
        <v>127</v>
      </c>
      <c r="C25" s="24">
        <v>11.5</v>
      </c>
      <c r="D25" s="16" t="s">
        <v>138</v>
      </c>
    </row>
    <row r="26" spans="1:4" ht="23.4" x14ac:dyDescent="0.3">
      <c r="A26" s="77"/>
      <c r="B26" s="5" t="s">
        <v>63</v>
      </c>
      <c r="C26" s="24">
        <v>22</v>
      </c>
      <c r="D26" s="16" t="s">
        <v>138</v>
      </c>
    </row>
    <row r="27" spans="1:4" ht="23.4" x14ac:dyDescent="0.3">
      <c r="A27" s="77"/>
      <c r="B27" s="5" t="s">
        <v>62</v>
      </c>
      <c r="C27" s="24">
        <v>24</v>
      </c>
      <c r="D27" s="16" t="s">
        <v>138</v>
      </c>
    </row>
    <row r="28" spans="1:4" ht="23.4" x14ac:dyDescent="0.3">
      <c r="A28" s="77">
        <v>46155</v>
      </c>
      <c r="B28" s="5" t="s">
        <v>60</v>
      </c>
      <c r="C28" s="24">
        <v>247.26</v>
      </c>
      <c r="D28" s="16" t="s">
        <v>138</v>
      </c>
    </row>
    <row r="29" spans="1:4" ht="23.4" x14ac:dyDescent="0.3">
      <c r="A29" s="77"/>
      <c r="B29" s="5"/>
      <c r="C29" s="24"/>
      <c r="D29" s="16"/>
    </row>
    <row r="30" spans="1:4" ht="23.4" x14ac:dyDescent="0.3">
      <c r="A30" s="77"/>
      <c r="B30" s="5"/>
      <c r="C30" s="24"/>
      <c r="D30" s="16"/>
    </row>
    <row r="31" spans="1:4" ht="23.4" x14ac:dyDescent="0.3">
      <c r="A31" s="77"/>
      <c r="B31" s="5"/>
      <c r="C31" s="24"/>
      <c r="D31" s="16"/>
    </row>
    <row r="32" spans="1:4" ht="23.4" x14ac:dyDescent="0.3">
      <c r="A32" s="77"/>
      <c r="B32" s="5"/>
      <c r="C32" s="24"/>
      <c r="D32" s="16"/>
    </row>
    <row r="33" spans="1:4" ht="23.4" x14ac:dyDescent="0.3">
      <c r="A33" s="77"/>
      <c r="B33" s="5"/>
      <c r="C33" s="24"/>
      <c r="D33" s="16"/>
    </row>
    <row r="34" spans="1:4" ht="23.4" x14ac:dyDescent="0.3">
      <c r="A34" s="77"/>
      <c r="B34" s="5"/>
      <c r="C34" s="24"/>
      <c r="D34" s="16"/>
    </row>
    <row r="35" spans="1:4" ht="23.4" x14ac:dyDescent="0.3">
      <c r="A35" s="77"/>
      <c r="B35" s="5"/>
      <c r="C35" s="24"/>
      <c r="D35" s="16"/>
    </row>
    <row r="36" spans="1:4" ht="23.4" x14ac:dyDescent="0.3">
      <c r="A36" s="77"/>
      <c r="B36" s="5"/>
      <c r="C36" s="24"/>
      <c r="D36" s="16"/>
    </row>
    <row r="37" spans="1:4" ht="23.4" x14ac:dyDescent="0.3">
      <c r="A37" s="79"/>
      <c r="B37" s="7"/>
      <c r="C37" s="31"/>
      <c r="D37" s="16"/>
    </row>
    <row r="38" spans="1:4" ht="23.4" x14ac:dyDescent="0.3">
      <c r="A38" s="79"/>
      <c r="B38" s="22" t="s">
        <v>27</v>
      </c>
      <c r="C38" s="30">
        <f>SUM(C25:C37)</f>
        <v>304.76</v>
      </c>
      <c r="D38" s="20"/>
    </row>
    <row r="45" spans="1:4" ht="23.4" x14ac:dyDescent="0.3">
      <c r="A45" s="12" t="s">
        <v>32</v>
      </c>
      <c r="B45" s="13"/>
    </row>
    <row r="46" spans="1:4" ht="23.4" x14ac:dyDescent="0.3">
      <c r="A46" s="21"/>
    </row>
    <row r="47" spans="1:4" ht="23.4" x14ac:dyDescent="0.3">
      <c r="A47" s="17" t="s">
        <v>2</v>
      </c>
      <c r="B47" s="18" t="s">
        <v>3</v>
      </c>
      <c r="C47" s="28" t="s">
        <v>4</v>
      </c>
      <c r="D47" s="19" t="s">
        <v>24</v>
      </c>
    </row>
    <row r="48" spans="1:4" ht="23.4" x14ac:dyDescent="0.3">
      <c r="A48" s="77"/>
      <c r="B48" s="5"/>
      <c r="C48" s="24"/>
      <c r="D48" s="16" t="s">
        <v>137</v>
      </c>
    </row>
    <row r="49" spans="1:4" ht="23.4" x14ac:dyDescent="0.3">
      <c r="A49" s="77"/>
      <c r="B49" s="5"/>
      <c r="C49" s="24"/>
      <c r="D49" s="16"/>
    </row>
    <row r="50" spans="1:4" ht="23.4" x14ac:dyDescent="0.3">
      <c r="A50" s="77"/>
      <c r="B50" s="5"/>
      <c r="C50" s="24"/>
      <c r="D50" s="16"/>
    </row>
    <row r="51" spans="1:4" ht="23.4" x14ac:dyDescent="0.3">
      <c r="A51" s="77"/>
      <c r="B51" s="5"/>
      <c r="C51" s="24"/>
      <c r="D51" s="16"/>
    </row>
    <row r="52" spans="1:4" ht="23.4" x14ac:dyDescent="0.3">
      <c r="A52" s="77"/>
      <c r="B52" s="5"/>
      <c r="C52" s="24"/>
      <c r="D52" s="16"/>
    </row>
    <row r="53" spans="1:4" ht="23.4" x14ac:dyDescent="0.3">
      <c r="A53" s="77"/>
      <c r="B53" s="5"/>
      <c r="C53" s="24"/>
      <c r="D53" s="16"/>
    </row>
    <row r="54" spans="1:4" ht="23.4" x14ac:dyDescent="0.3">
      <c r="A54" s="77"/>
      <c r="B54" s="5"/>
      <c r="C54" s="24"/>
      <c r="D54" s="16"/>
    </row>
    <row r="55" spans="1:4" ht="23.4" x14ac:dyDescent="0.3">
      <c r="A55" s="77"/>
      <c r="B55" s="5"/>
      <c r="C55" s="24"/>
      <c r="D55" s="16"/>
    </row>
    <row r="56" spans="1:4" ht="23.4" x14ac:dyDescent="0.3">
      <c r="A56" s="77"/>
      <c r="B56" s="5"/>
      <c r="C56" s="24"/>
      <c r="D56" s="16"/>
    </row>
    <row r="57" spans="1:4" ht="23.4" x14ac:dyDescent="0.3">
      <c r="A57" s="77"/>
      <c r="B57" s="5"/>
      <c r="C57" s="24"/>
      <c r="D57" s="16"/>
    </row>
    <row r="58" spans="1:4" ht="23.4" x14ac:dyDescent="0.3">
      <c r="A58" s="77"/>
      <c r="B58" s="5"/>
      <c r="C58" s="24"/>
      <c r="D58" s="16"/>
    </row>
    <row r="59" spans="1:4" ht="23.4" x14ac:dyDescent="0.3">
      <c r="A59" s="77"/>
      <c r="B59" s="5"/>
      <c r="C59" s="24"/>
      <c r="D59" s="16"/>
    </row>
    <row r="60" spans="1:4" ht="23.4" x14ac:dyDescent="0.3">
      <c r="A60" s="77"/>
      <c r="B60" s="5"/>
      <c r="C60" s="24"/>
      <c r="D60" s="16"/>
    </row>
    <row r="61" spans="1:4" ht="23.4" x14ac:dyDescent="0.3">
      <c r="A61" s="77"/>
      <c r="B61" s="5"/>
      <c r="C61" s="24"/>
      <c r="D61" s="16"/>
    </row>
    <row r="62" spans="1:4" ht="23.4" x14ac:dyDescent="0.3">
      <c r="A62" s="77"/>
      <c r="B62" s="5"/>
      <c r="C62" s="24"/>
      <c r="D62" s="16"/>
    </row>
    <row r="63" spans="1:4" ht="23.4" x14ac:dyDescent="0.3">
      <c r="A63" s="77"/>
      <c r="B63" s="5"/>
      <c r="C63" s="24"/>
      <c r="D63" s="16"/>
    </row>
    <row r="64" spans="1:4" ht="23.4" x14ac:dyDescent="0.3">
      <c r="A64" s="77"/>
      <c r="B64" s="5"/>
      <c r="C64" s="24"/>
      <c r="D64" s="16"/>
    </row>
    <row r="65" spans="1:4" ht="23.4" x14ac:dyDescent="0.3">
      <c r="A65" s="77"/>
      <c r="B65" s="5"/>
      <c r="C65" s="24"/>
      <c r="D65" s="16"/>
    </row>
    <row r="66" spans="1:4" ht="23.4" x14ac:dyDescent="0.3">
      <c r="A66" s="79"/>
      <c r="B66" s="22" t="s">
        <v>27</v>
      </c>
      <c r="C66" s="30">
        <f>SUM(C48:C65)</f>
        <v>0</v>
      </c>
      <c r="D66" s="20"/>
    </row>
    <row r="71" spans="1:4" ht="23.4" x14ac:dyDescent="0.3">
      <c r="A71" s="12" t="s">
        <v>123</v>
      </c>
      <c r="B71" s="13"/>
    </row>
    <row r="72" spans="1:4" ht="23.4" x14ac:dyDescent="0.3">
      <c r="A72" s="21"/>
    </row>
    <row r="73" spans="1:4" ht="23.4" x14ac:dyDescent="0.3">
      <c r="A73" s="17" t="s">
        <v>2</v>
      </c>
      <c r="B73" s="18" t="s">
        <v>3</v>
      </c>
      <c r="C73" s="28" t="s">
        <v>4</v>
      </c>
      <c r="D73" s="19" t="s">
        <v>24</v>
      </c>
    </row>
    <row r="74" spans="1:4" ht="23.4" x14ac:dyDescent="0.3">
      <c r="A74" s="77"/>
      <c r="B74" s="5" t="s">
        <v>51</v>
      </c>
      <c r="C74" s="24">
        <v>15</v>
      </c>
      <c r="D74" s="16" t="s">
        <v>124</v>
      </c>
    </row>
    <row r="75" spans="1:4" ht="23.4" x14ac:dyDescent="0.3">
      <c r="A75" s="77"/>
      <c r="B75" s="5"/>
      <c r="C75" s="24"/>
      <c r="D75" s="16"/>
    </row>
    <row r="76" spans="1:4" ht="23.4" x14ac:dyDescent="0.3">
      <c r="A76" s="77"/>
      <c r="B76" s="5"/>
      <c r="C76" s="24"/>
      <c r="D76" s="16"/>
    </row>
    <row r="77" spans="1:4" ht="23.4" x14ac:dyDescent="0.3">
      <c r="A77" s="77"/>
      <c r="B77" s="5"/>
      <c r="C77" s="24"/>
      <c r="D77" s="16"/>
    </row>
    <row r="78" spans="1:4" ht="23.4" x14ac:dyDescent="0.3">
      <c r="A78" s="77"/>
      <c r="B78" s="5"/>
      <c r="C78" s="24"/>
      <c r="D78" s="16"/>
    </row>
    <row r="79" spans="1:4" ht="23.4" x14ac:dyDescent="0.3">
      <c r="A79" s="77"/>
      <c r="B79" s="5"/>
      <c r="C79" s="24"/>
      <c r="D79" s="16"/>
    </row>
    <row r="80" spans="1:4" ht="23.4" x14ac:dyDescent="0.3">
      <c r="A80" s="77"/>
      <c r="B80" s="5"/>
      <c r="C80" s="24"/>
      <c r="D80" s="16"/>
    </row>
    <row r="81" spans="1:4" ht="23.4" x14ac:dyDescent="0.3">
      <c r="A81" s="77"/>
      <c r="B81" s="5"/>
      <c r="C81" s="24"/>
      <c r="D81" s="16"/>
    </row>
    <row r="82" spans="1:4" ht="23.4" x14ac:dyDescent="0.3">
      <c r="A82" s="77"/>
      <c r="B82" s="5"/>
      <c r="C82" s="24"/>
      <c r="D82" s="16"/>
    </row>
    <row r="83" spans="1:4" ht="23.4" x14ac:dyDescent="0.3">
      <c r="A83" s="77"/>
      <c r="B83" s="5"/>
      <c r="C83" s="24"/>
      <c r="D83" s="16"/>
    </row>
    <row r="84" spans="1:4" ht="23.4" x14ac:dyDescent="0.3">
      <c r="A84" s="77"/>
      <c r="B84" s="5"/>
      <c r="C84" s="24"/>
      <c r="D84" s="16"/>
    </row>
    <row r="85" spans="1:4" ht="23.4" x14ac:dyDescent="0.3">
      <c r="A85" s="77"/>
      <c r="B85" s="5"/>
      <c r="C85" s="24"/>
      <c r="D85" s="16"/>
    </row>
    <row r="86" spans="1:4" ht="23.4" x14ac:dyDescent="0.3">
      <c r="A86" s="77"/>
      <c r="B86" s="5"/>
      <c r="C86" s="24"/>
      <c r="D86" s="16"/>
    </row>
    <row r="87" spans="1:4" ht="23.4" x14ac:dyDescent="0.3">
      <c r="A87" s="77"/>
      <c r="B87" s="5"/>
      <c r="C87" s="24"/>
      <c r="D87" s="16"/>
    </row>
    <row r="88" spans="1:4" ht="23.4" x14ac:dyDescent="0.3">
      <c r="A88" s="77"/>
      <c r="B88" s="5"/>
      <c r="C88" s="24"/>
      <c r="D88" s="16"/>
    </row>
    <row r="89" spans="1:4" ht="23.4" x14ac:dyDescent="0.3">
      <c r="A89" s="77"/>
      <c r="B89" s="5"/>
      <c r="C89" s="24"/>
      <c r="D89" s="16"/>
    </row>
    <row r="90" spans="1:4" ht="23.4" x14ac:dyDescent="0.3">
      <c r="A90" s="77"/>
      <c r="B90" s="5"/>
      <c r="C90" s="24"/>
      <c r="D90" s="16"/>
    </row>
    <row r="91" spans="1:4" ht="23.4" x14ac:dyDescent="0.3">
      <c r="A91" s="77"/>
      <c r="B91" s="5"/>
      <c r="C91" s="24"/>
      <c r="D91" s="16"/>
    </row>
    <row r="92" spans="1:4" ht="23.4" x14ac:dyDescent="0.3">
      <c r="A92" s="79"/>
      <c r="B92" s="22" t="s">
        <v>27</v>
      </c>
      <c r="C92" s="30">
        <f>SUM(C74:C91)</f>
        <v>15</v>
      </c>
      <c r="D92" s="20"/>
    </row>
    <row r="98" spans="2:3" ht="23.4" x14ac:dyDescent="0.3">
      <c r="B98" s="10" t="s">
        <v>27</v>
      </c>
      <c r="C98" s="25">
        <f>C17+C38+C66+C92</f>
        <v>387.65999999999997</v>
      </c>
    </row>
    <row r="99" spans="2:3" ht="46.8" x14ac:dyDescent="0.3">
      <c r="B99" s="45" t="s">
        <v>125</v>
      </c>
      <c r="C99" s="27">
        <f>C98/4</f>
        <v>96.914999999999992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6474-09FA-4AE5-9CEA-AC2D5183F55A}">
  <dimension ref="A1:D98"/>
  <sheetViews>
    <sheetView topLeftCell="A67" workbookViewId="0">
      <selection activeCell="D48" sqref="D48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4.5546875" style="26" bestFit="1" customWidth="1"/>
    <col min="4" max="4" width="29.21875" bestFit="1" customWidth="1"/>
  </cols>
  <sheetData>
    <row r="1" spans="1:4" ht="21" x14ac:dyDescent="0.4">
      <c r="A1" s="39" t="s">
        <v>41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7"/>
      <c r="B8" s="5" t="s">
        <v>134</v>
      </c>
      <c r="C8" s="24">
        <v>23.98</v>
      </c>
      <c r="D8" s="16" t="s">
        <v>136</v>
      </c>
    </row>
    <row r="9" spans="1:4" ht="23.4" x14ac:dyDescent="0.3">
      <c r="A9" s="77"/>
      <c r="B9" s="5"/>
      <c r="C9" s="24"/>
      <c r="D9" s="16"/>
    </row>
    <row r="10" spans="1:4" ht="23.4" x14ac:dyDescent="0.3">
      <c r="A10" s="77"/>
      <c r="B10" s="5"/>
      <c r="C10" s="24"/>
      <c r="D10" s="16"/>
    </row>
    <row r="11" spans="1:4" ht="23.4" x14ac:dyDescent="0.3">
      <c r="A11" s="77"/>
      <c r="B11" s="5"/>
      <c r="C11" s="24"/>
      <c r="D11" s="16"/>
    </row>
    <row r="12" spans="1:4" ht="23.4" x14ac:dyDescent="0.3">
      <c r="A12" s="77"/>
      <c r="B12" s="5"/>
      <c r="C12" s="24"/>
      <c r="D12" s="16"/>
    </row>
    <row r="13" spans="1:4" ht="23.4" x14ac:dyDescent="0.3">
      <c r="A13" s="77"/>
      <c r="B13" s="5"/>
      <c r="C13" s="24"/>
      <c r="D13" s="16"/>
    </row>
    <row r="14" spans="1:4" ht="23.4" x14ac:dyDescent="0.3">
      <c r="A14" s="77"/>
      <c r="B14" s="5"/>
      <c r="C14" s="24"/>
      <c r="D14" s="16"/>
    </row>
    <row r="15" spans="1:4" ht="23.4" x14ac:dyDescent="0.3">
      <c r="A15" s="77"/>
      <c r="B15" s="5"/>
      <c r="C15" s="24"/>
      <c r="D15" s="16"/>
    </row>
    <row r="16" spans="1:4" ht="23.4" x14ac:dyDescent="0.3">
      <c r="A16" s="77"/>
      <c r="B16" s="5"/>
      <c r="C16" s="24"/>
      <c r="D16" s="16"/>
    </row>
    <row r="17" spans="1:4" ht="23.4" x14ac:dyDescent="0.3">
      <c r="A17" s="79"/>
      <c r="B17" s="22" t="s">
        <v>27</v>
      </c>
      <c r="C17" s="30">
        <f>SUM(C8:C16)</f>
        <v>23.98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23</v>
      </c>
      <c r="B22" s="13"/>
    </row>
    <row r="23" spans="1:4" ht="23.4" x14ac:dyDescent="0.3">
      <c r="A23" s="8"/>
    </row>
    <row r="24" spans="1:4" ht="23.4" x14ac:dyDescent="0.3">
      <c r="A24" s="17" t="s">
        <v>2</v>
      </c>
      <c r="B24" s="18" t="s">
        <v>3</v>
      </c>
      <c r="C24" s="28" t="s">
        <v>4</v>
      </c>
      <c r="D24" s="19" t="s">
        <v>24</v>
      </c>
    </row>
    <row r="25" spans="1:4" ht="23.4" x14ac:dyDescent="0.3">
      <c r="A25" s="77"/>
      <c r="B25" s="5" t="s">
        <v>133</v>
      </c>
      <c r="C25" s="24">
        <v>35.950000000000003</v>
      </c>
      <c r="D25" s="16" t="s">
        <v>138</v>
      </c>
    </row>
    <row r="26" spans="1:4" ht="23.4" x14ac:dyDescent="0.3">
      <c r="A26" s="77"/>
      <c r="B26" s="5" t="s">
        <v>60</v>
      </c>
      <c r="C26" s="24">
        <v>355.73</v>
      </c>
      <c r="D26" s="16" t="s">
        <v>138</v>
      </c>
    </row>
    <row r="27" spans="1:4" ht="23.4" x14ac:dyDescent="0.3">
      <c r="A27" s="77"/>
      <c r="B27" s="5"/>
      <c r="C27" s="24"/>
      <c r="D27" s="16"/>
    </row>
    <row r="28" spans="1:4" ht="23.4" x14ac:dyDescent="0.3">
      <c r="A28" s="77"/>
      <c r="B28" s="5"/>
      <c r="C28" s="24"/>
      <c r="D28" s="16"/>
    </row>
    <row r="29" spans="1:4" ht="23.4" x14ac:dyDescent="0.3">
      <c r="A29" s="77"/>
      <c r="B29" s="5"/>
      <c r="C29" s="24"/>
      <c r="D29" s="16"/>
    </row>
    <row r="30" spans="1:4" ht="23.4" x14ac:dyDescent="0.3">
      <c r="A30" s="77"/>
      <c r="B30" s="5"/>
      <c r="C30" s="24"/>
      <c r="D30" s="16"/>
    </row>
    <row r="31" spans="1:4" ht="23.4" x14ac:dyDescent="0.3">
      <c r="A31" s="77"/>
      <c r="B31" s="5"/>
      <c r="C31" s="24"/>
      <c r="D31" s="16"/>
    </row>
    <row r="32" spans="1:4" ht="23.4" x14ac:dyDescent="0.3">
      <c r="A32" s="77"/>
      <c r="B32" s="5"/>
      <c r="C32" s="24"/>
      <c r="D32" s="16"/>
    </row>
    <row r="33" spans="1:4" ht="23.4" x14ac:dyDescent="0.3">
      <c r="A33" s="77"/>
      <c r="B33" s="5"/>
      <c r="C33" s="24"/>
      <c r="D33" s="16"/>
    </row>
    <row r="34" spans="1:4" ht="23.4" x14ac:dyDescent="0.3">
      <c r="A34" s="77"/>
      <c r="B34" s="5"/>
      <c r="C34" s="24"/>
      <c r="D34" s="16"/>
    </row>
    <row r="35" spans="1:4" ht="23.4" x14ac:dyDescent="0.3">
      <c r="A35" s="77"/>
      <c r="B35" s="5"/>
      <c r="C35" s="24"/>
      <c r="D35" s="16"/>
    </row>
    <row r="36" spans="1:4" ht="23.4" x14ac:dyDescent="0.3">
      <c r="A36" s="77"/>
      <c r="B36" s="5"/>
      <c r="C36" s="24"/>
      <c r="D36" s="16"/>
    </row>
    <row r="37" spans="1:4" ht="23.4" x14ac:dyDescent="0.3">
      <c r="A37" s="79"/>
      <c r="B37" s="7"/>
      <c r="C37" s="31"/>
      <c r="D37" s="16"/>
    </row>
    <row r="38" spans="1:4" ht="23.4" x14ac:dyDescent="0.3">
      <c r="A38" s="79"/>
      <c r="B38" s="22" t="s">
        <v>27</v>
      </c>
      <c r="C38" s="30">
        <f t="shared" ref="C38" si="0">SUM(C25:C37)</f>
        <v>391.68</v>
      </c>
      <c r="D38" s="20"/>
    </row>
    <row r="45" spans="1:4" ht="23.4" x14ac:dyDescent="0.3">
      <c r="A45" s="12" t="s">
        <v>32</v>
      </c>
      <c r="B45" s="13"/>
    </row>
    <row r="46" spans="1:4" ht="23.4" x14ac:dyDescent="0.3">
      <c r="A46" s="21"/>
    </row>
    <row r="47" spans="1:4" ht="23.4" x14ac:dyDescent="0.3">
      <c r="A47" s="17" t="s">
        <v>2</v>
      </c>
      <c r="B47" s="18" t="s">
        <v>3</v>
      </c>
      <c r="C47" s="28" t="s">
        <v>4</v>
      </c>
      <c r="D47" s="19" t="s">
        <v>24</v>
      </c>
    </row>
    <row r="48" spans="1:4" ht="23.4" x14ac:dyDescent="0.3">
      <c r="A48" s="77"/>
      <c r="B48" s="5" t="s">
        <v>131</v>
      </c>
      <c r="C48" s="24">
        <v>10</v>
      </c>
      <c r="D48" s="16" t="s">
        <v>137</v>
      </c>
    </row>
    <row r="49" spans="1:4" ht="23.4" x14ac:dyDescent="0.3">
      <c r="A49" s="77"/>
      <c r="B49" s="5"/>
      <c r="C49" s="24"/>
      <c r="D49" s="16"/>
    </row>
    <row r="50" spans="1:4" ht="23.4" x14ac:dyDescent="0.3">
      <c r="A50" s="77"/>
      <c r="B50" s="5"/>
      <c r="C50" s="24"/>
      <c r="D50" s="16"/>
    </row>
    <row r="51" spans="1:4" ht="23.4" x14ac:dyDescent="0.3">
      <c r="A51" s="77"/>
      <c r="B51" s="5"/>
      <c r="C51" s="24"/>
      <c r="D51" s="16"/>
    </row>
    <row r="52" spans="1:4" ht="23.4" x14ac:dyDescent="0.3">
      <c r="A52" s="77"/>
      <c r="B52" s="5"/>
      <c r="C52" s="24"/>
      <c r="D52" s="16"/>
    </row>
    <row r="53" spans="1:4" ht="23.4" x14ac:dyDescent="0.3">
      <c r="A53" s="77"/>
      <c r="B53" s="5"/>
      <c r="C53" s="24"/>
      <c r="D53" s="16"/>
    </row>
    <row r="54" spans="1:4" ht="23.4" x14ac:dyDescent="0.3">
      <c r="A54" s="77"/>
      <c r="B54" s="5"/>
      <c r="C54" s="24"/>
      <c r="D54" s="16"/>
    </row>
    <row r="55" spans="1:4" ht="23.4" x14ac:dyDescent="0.3">
      <c r="A55" s="77"/>
      <c r="B55" s="5"/>
      <c r="C55" s="24"/>
      <c r="D55" s="16"/>
    </row>
    <row r="56" spans="1:4" ht="23.4" x14ac:dyDescent="0.3">
      <c r="A56" s="77"/>
      <c r="B56" s="5"/>
      <c r="C56" s="24"/>
      <c r="D56" s="16"/>
    </row>
    <row r="57" spans="1:4" ht="23.4" x14ac:dyDescent="0.3">
      <c r="A57" s="77"/>
      <c r="B57" s="5"/>
      <c r="C57" s="24"/>
      <c r="D57" s="16"/>
    </row>
    <row r="58" spans="1:4" ht="23.4" x14ac:dyDescent="0.3">
      <c r="A58" s="77"/>
      <c r="B58" s="5"/>
      <c r="C58" s="24"/>
      <c r="D58" s="16"/>
    </row>
    <row r="59" spans="1:4" ht="23.4" x14ac:dyDescent="0.3">
      <c r="A59" s="77"/>
      <c r="B59" s="5"/>
      <c r="C59" s="24"/>
      <c r="D59" s="16"/>
    </row>
    <row r="60" spans="1:4" ht="23.4" x14ac:dyDescent="0.3">
      <c r="A60" s="77"/>
      <c r="B60" s="5"/>
      <c r="C60" s="24"/>
      <c r="D60" s="16"/>
    </row>
    <row r="61" spans="1:4" ht="23.4" x14ac:dyDescent="0.3">
      <c r="A61" s="77"/>
      <c r="B61" s="5"/>
      <c r="C61" s="24"/>
      <c r="D61" s="16"/>
    </row>
    <row r="62" spans="1:4" ht="23.4" x14ac:dyDescent="0.3">
      <c r="A62" s="77"/>
      <c r="B62" s="5"/>
      <c r="C62" s="24"/>
      <c r="D62" s="16"/>
    </row>
    <row r="63" spans="1:4" ht="23.4" x14ac:dyDescent="0.3">
      <c r="A63" s="77"/>
      <c r="B63" s="5"/>
      <c r="C63" s="24"/>
      <c r="D63" s="16"/>
    </row>
    <row r="64" spans="1:4" ht="23.4" x14ac:dyDescent="0.3">
      <c r="A64" s="77"/>
      <c r="B64" s="5"/>
      <c r="C64" s="24"/>
      <c r="D64" s="16"/>
    </row>
    <row r="65" spans="1:4" ht="23.4" x14ac:dyDescent="0.3">
      <c r="A65" s="77"/>
      <c r="B65" s="5"/>
      <c r="C65" s="24"/>
      <c r="D65" s="16"/>
    </row>
    <row r="66" spans="1:4" ht="23.4" x14ac:dyDescent="0.3">
      <c r="A66" s="79"/>
      <c r="B66" s="22" t="s">
        <v>27</v>
      </c>
      <c r="C66" s="30">
        <f>SUM(C48:C65)</f>
        <v>10</v>
      </c>
      <c r="D66" s="20"/>
    </row>
    <row r="71" spans="1:4" ht="23.4" x14ac:dyDescent="0.3">
      <c r="A71" s="12" t="s">
        <v>123</v>
      </c>
      <c r="B71" s="13"/>
    </row>
    <row r="72" spans="1:4" ht="23.4" x14ac:dyDescent="0.3">
      <c r="A72" s="21"/>
    </row>
    <row r="73" spans="1:4" ht="23.4" x14ac:dyDescent="0.3">
      <c r="A73" s="17" t="s">
        <v>2</v>
      </c>
      <c r="B73" s="18" t="s">
        <v>3</v>
      </c>
      <c r="C73" s="28" t="s">
        <v>4</v>
      </c>
      <c r="D73" s="19" t="s">
        <v>24</v>
      </c>
    </row>
    <row r="74" spans="1:4" ht="23.4" x14ac:dyDescent="0.3">
      <c r="A74" s="77"/>
      <c r="B74" s="5" t="s">
        <v>51</v>
      </c>
      <c r="C74" s="24">
        <v>18</v>
      </c>
      <c r="D74" s="16" t="s">
        <v>124</v>
      </c>
    </row>
    <row r="75" spans="1:4" ht="23.4" x14ac:dyDescent="0.3">
      <c r="A75" s="77"/>
      <c r="B75" s="5" t="s">
        <v>132</v>
      </c>
      <c r="C75" s="24">
        <v>20</v>
      </c>
      <c r="D75" s="16" t="s">
        <v>124</v>
      </c>
    </row>
    <row r="76" spans="1:4" ht="23.4" x14ac:dyDescent="0.3">
      <c r="A76" s="77"/>
      <c r="B76" s="5" t="s">
        <v>135</v>
      </c>
      <c r="C76" s="24">
        <v>30</v>
      </c>
      <c r="D76" s="16" t="s">
        <v>124</v>
      </c>
    </row>
    <row r="77" spans="1:4" ht="23.4" x14ac:dyDescent="0.3">
      <c r="A77" s="77"/>
      <c r="B77" s="5"/>
      <c r="C77" s="24"/>
      <c r="D77" s="16"/>
    </row>
    <row r="78" spans="1:4" ht="23.4" x14ac:dyDescent="0.3">
      <c r="A78" s="77"/>
      <c r="B78" s="5"/>
      <c r="C78" s="24"/>
      <c r="D78" s="16"/>
    </row>
    <row r="79" spans="1:4" ht="23.4" x14ac:dyDescent="0.3">
      <c r="A79" s="77"/>
      <c r="B79" s="5"/>
      <c r="C79" s="24"/>
      <c r="D79" s="16"/>
    </row>
    <row r="80" spans="1:4" ht="23.4" x14ac:dyDescent="0.3">
      <c r="A80" s="77"/>
      <c r="B80" s="5"/>
      <c r="C80" s="24"/>
      <c r="D80" s="16"/>
    </row>
    <row r="81" spans="1:4" ht="23.4" x14ac:dyDescent="0.3">
      <c r="A81" s="77"/>
      <c r="B81" s="5"/>
      <c r="C81" s="24"/>
      <c r="D81" s="16"/>
    </row>
    <row r="82" spans="1:4" ht="23.4" x14ac:dyDescent="0.3">
      <c r="A82" s="77"/>
      <c r="B82" s="5"/>
      <c r="C82" s="24"/>
      <c r="D82" s="16"/>
    </row>
    <row r="83" spans="1:4" ht="23.4" x14ac:dyDescent="0.3">
      <c r="A83" s="77"/>
      <c r="B83" s="5"/>
      <c r="C83" s="24"/>
      <c r="D83" s="16"/>
    </row>
    <row r="84" spans="1:4" ht="23.4" x14ac:dyDescent="0.3">
      <c r="A84" s="77"/>
      <c r="B84" s="5"/>
      <c r="C84" s="24"/>
      <c r="D84" s="16"/>
    </row>
    <row r="85" spans="1:4" ht="23.4" x14ac:dyDescent="0.3">
      <c r="A85" s="77"/>
      <c r="B85" s="5"/>
      <c r="C85" s="24"/>
      <c r="D85" s="16"/>
    </row>
    <row r="86" spans="1:4" ht="23.4" x14ac:dyDescent="0.3">
      <c r="A86" s="77"/>
      <c r="B86" s="5"/>
      <c r="C86" s="24"/>
      <c r="D86" s="16"/>
    </row>
    <row r="87" spans="1:4" ht="23.4" x14ac:dyDescent="0.3">
      <c r="A87" s="77"/>
      <c r="B87" s="5"/>
      <c r="C87" s="24"/>
      <c r="D87" s="16"/>
    </row>
    <row r="88" spans="1:4" ht="23.4" x14ac:dyDescent="0.3">
      <c r="A88" s="77"/>
      <c r="B88" s="5"/>
      <c r="C88" s="24"/>
      <c r="D88" s="16"/>
    </row>
    <row r="89" spans="1:4" ht="23.4" x14ac:dyDescent="0.3">
      <c r="A89" s="77"/>
      <c r="B89" s="5"/>
      <c r="C89" s="24"/>
      <c r="D89" s="16"/>
    </row>
    <row r="90" spans="1:4" ht="23.4" x14ac:dyDescent="0.3">
      <c r="A90" s="77"/>
      <c r="B90" s="5"/>
      <c r="C90" s="24"/>
      <c r="D90" s="16"/>
    </row>
    <row r="91" spans="1:4" ht="23.4" x14ac:dyDescent="0.3">
      <c r="A91" s="77"/>
      <c r="B91" s="5"/>
      <c r="C91" s="24"/>
      <c r="D91" s="16"/>
    </row>
    <row r="92" spans="1:4" ht="23.4" x14ac:dyDescent="0.3">
      <c r="A92" s="79"/>
      <c r="B92" s="22" t="s">
        <v>27</v>
      </c>
      <c r="C92" s="30">
        <f>SUM(C74:C91)</f>
        <v>68</v>
      </c>
      <c r="D92" s="20"/>
    </row>
    <row r="97" spans="2:3" ht="23.4" x14ac:dyDescent="0.3">
      <c r="B97" s="10" t="s">
        <v>27</v>
      </c>
      <c r="C97" s="25">
        <f>C17+C38+C66+C92</f>
        <v>493.66</v>
      </c>
    </row>
    <row r="98" spans="2:3" ht="46.8" x14ac:dyDescent="0.3">
      <c r="B98" s="45" t="s">
        <v>125</v>
      </c>
      <c r="C98" s="27">
        <f>C97/4</f>
        <v>123.41500000000001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E588-FA84-4259-993A-023F33F7FEA0}">
  <dimension ref="A1:D99"/>
  <sheetViews>
    <sheetView topLeftCell="A86" workbookViewId="0">
      <selection activeCell="F99" sqref="F99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42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7"/>
      <c r="B8" s="5"/>
      <c r="C8" s="24"/>
      <c r="D8" s="16" t="s">
        <v>136</v>
      </c>
    </row>
    <row r="9" spans="1:4" ht="23.4" x14ac:dyDescent="0.3">
      <c r="A9" s="77"/>
      <c r="B9" s="5"/>
      <c r="C9" s="24"/>
      <c r="D9" s="16"/>
    </row>
    <row r="10" spans="1:4" ht="23.4" x14ac:dyDescent="0.3">
      <c r="A10" s="77"/>
      <c r="B10" s="5"/>
      <c r="C10" s="24"/>
      <c r="D10" s="16"/>
    </row>
    <row r="11" spans="1:4" ht="23.4" x14ac:dyDescent="0.3">
      <c r="A11" s="77"/>
      <c r="B11" s="5"/>
      <c r="C11" s="24"/>
      <c r="D11" s="16"/>
    </row>
    <row r="12" spans="1:4" ht="23.4" x14ac:dyDescent="0.3">
      <c r="A12" s="77"/>
      <c r="B12" s="5"/>
      <c r="C12" s="24"/>
      <c r="D12" s="16"/>
    </row>
    <row r="13" spans="1:4" ht="23.4" x14ac:dyDescent="0.3">
      <c r="A13" s="77"/>
      <c r="B13" s="5"/>
      <c r="C13" s="24"/>
      <c r="D13" s="16"/>
    </row>
    <row r="14" spans="1:4" ht="23.4" x14ac:dyDescent="0.3">
      <c r="A14" s="77"/>
      <c r="B14" s="5"/>
      <c r="C14" s="24"/>
      <c r="D14" s="16"/>
    </row>
    <row r="15" spans="1:4" ht="23.4" x14ac:dyDescent="0.3">
      <c r="A15" s="77"/>
      <c r="B15" s="5"/>
      <c r="C15" s="24"/>
      <c r="D15" s="16"/>
    </row>
    <row r="16" spans="1:4" ht="23.4" x14ac:dyDescent="0.3">
      <c r="A16" s="77"/>
      <c r="B16" s="5"/>
      <c r="C16" s="24"/>
      <c r="D16" s="16"/>
    </row>
    <row r="17" spans="1:4" ht="23.4" x14ac:dyDescent="0.3">
      <c r="A17" s="79"/>
      <c r="B17" s="22" t="s">
        <v>27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23</v>
      </c>
      <c r="B22" s="13"/>
    </row>
    <row r="23" spans="1:4" ht="23.4" x14ac:dyDescent="0.3">
      <c r="A23" s="8"/>
    </row>
    <row r="24" spans="1:4" ht="23.4" x14ac:dyDescent="0.3">
      <c r="A24" s="17" t="s">
        <v>2</v>
      </c>
      <c r="B24" s="18" t="s">
        <v>3</v>
      </c>
      <c r="C24" s="28" t="s">
        <v>4</v>
      </c>
      <c r="D24" s="19" t="s">
        <v>24</v>
      </c>
    </row>
    <row r="25" spans="1:4" ht="23.4" x14ac:dyDescent="0.3">
      <c r="A25" s="77"/>
      <c r="B25" s="5" t="s">
        <v>139</v>
      </c>
      <c r="C25" s="24">
        <v>16</v>
      </c>
      <c r="D25" s="16" t="s">
        <v>138</v>
      </c>
    </row>
    <row r="26" spans="1:4" ht="23.4" x14ac:dyDescent="0.3">
      <c r="A26" s="77"/>
      <c r="B26" s="5" t="s">
        <v>62</v>
      </c>
      <c r="C26" s="24">
        <v>10</v>
      </c>
      <c r="D26" s="16" t="s">
        <v>138</v>
      </c>
    </row>
    <row r="27" spans="1:4" ht="23.4" x14ac:dyDescent="0.3">
      <c r="A27" s="77"/>
      <c r="B27" s="5" t="s">
        <v>140</v>
      </c>
      <c r="C27" s="24">
        <v>22</v>
      </c>
      <c r="D27" s="16" t="s">
        <v>138</v>
      </c>
    </row>
    <row r="28" spans="1:4" ht="23.4" x14ac:dyDescent="0.3">
      <c r="A28" s="154">
        <v>46216</v>
      </c>
      <c r="B28" s="5" t="s">
        <v>60</v>
      </c>
      <c r="C28" s="24">
        <v>391.95</v>
      </c>
      <c r="D28" s="16" t="s">
        <v>138</v>
      </c>
    </row>
    <row r="29" spans="1:4" ht="23.4" x14ac:dyDescent="0.3">
      <c r="A29" s="154">
        <v>46210</v>
      </c>
      <c r="B29" s="5" t="s">
        <v>185</v>
      </c>
      <c r="C29" s="24">
        <v>16.11</v>
      </c>
      <c r="D29" s="16" t="s">
        <v>138</v>
      </c>
    </row>
    <row r="30" spans="1:4" ht="23.4" x14ac:dyDescent="0.3">
      <c r="A30" s="154"/>
      <c r="B30" s="5"/>
      <c r="C30" s="24"/>
      <c r="D30" s="16"/>
    </row>
    <row r="31" spans="1:4" ht="23.4" x14ac:dyDescent="0.3">
      <c r="A31" s="77"/>
      <c r="B31" s="5"/>
      <c r="C31" s="24"/>
      <c r="D31" s="16"/>
    </row>
    <row r="32" spans="1:4" ht="23.4" x14ac:dyDescent="0.3">
      <c r="A32" s="77"/>
      <c r="B32" s="5"/>
      <c r="C32" s="24"/>
      <c r="D32" s="16"/>
    </row>
    <row r="33" spans="1:4" ht="23.4" x14ac:dyDescent="0.3">
      <c r="A33" s="77"/>
      <c r="B33" s="5"/>
      <c r="C33" s="24"/>
      <c r="D33" s="16"/>
    </row>
    <row r="34" spans="1:4" ht="23.4" x14ac:dyDescent="0.3">
      <c r="A34" s="77"/>
      <c r="B34" s="5"/>
      <c r="C34" s="24"/>
      <c r="D34" s="16"/>
    </row>
    <row r="35" spans="1:4" ht="23.4" x14ac:dyDescent="0.3">
      <c r="A35" s="77"/>
      <c r="B35" s="5"/>
      <c r="C35" s="24"/>
      <c r="D35" s="16"/>
    </row>
    <row r="36" spans="1:4" ht="23.4" x14ac:dyDescent="0.3">
      <c r="A36" s="77"/>
      <c r="B36" s="5"/>
      <c r="C36" s="24"/>
      <c r="D36" s="16"/>
    </row>
    <row r="37" spans="1:4" ht="23.4" x14ac:dyDescent="0.3">
      <c r="A37" s="77"/>
      <c r="B37" s="5"/>
      <c r="C37" s="24"/>
      <c r="D37" s="16"/>
    </row>
    <row r="38" spans="1:4" ht="23.4" x14ac:dyDescent="0.3">
      <c r="A38" s="79"/>
      <c r="B38" s="7"/>
      <c r="C38" s="31"/>
      <c r="D38" s="16"/>
    </row>
    <row r="39" spans="1:4" ht="23.4" x14ac:dyDescent="0.3">
      <c r="A39" s="79"/>
      <c r="B39" s="22" t="s">
        <v>27</v>
      </c>
      <c r="C39" s="30">
        <f t="shared" ref="C39" si="0">SUM(C25:C38)</f>
        <v>456.06</v>
      </c>
      <c r="D39" s="20"/>
    </row>
    <row r="46" spans="1:4" ht="23.4" x14ac:dyDescent="0.3">
      <c r="A46" s="12" t="s">
        <v>32</v>
      </c>
      <c r="B46" s="13"/>
    </row>
    <row r="47" spans="1:4" ht="23.4" x14ac:dyDescent="0.3">
      <c r="A47" s="21"/>
    </row>
    <row r="48" spans="1:4" ht="23.4" x14ac:dyDescent="0.3">
      <c r="A48" s="17" t="s">
        <v>2</v>
      </c>
      <c r="B48" s="18" t="s">
        <v>3</v>
      </c>
      <c r="C48" s="28" t="s">
        <v>4</v>
      </c>
      <c r="D48" s="19" t="s">
        <v>24</v>
      </c>
    </row>
    <row r="49" spans="1:4" ht="23.4" x14ac:dyDescent="0.3">
      <c r="A49" s="77"/>
      <c r="B49" s="5"/>
      <c r="C49" s="24"/>
      <c r="D49" s="16" t="s">
        <v>137</v>
      </c>
    </row>
    <row r="50" spans="1:4" ht="23.4" x14ac:dyDescent="0.3">
      <c r="A50" s="77"/>
      <c r="B50" s="5"/>
      <c r="C50" s="24"/>
      <c r="D50" s="16"/>
    </row>
    <row r="51" spans="1:4" ht="23.4" x14ac:dyDescent="0.3">
      <c r="A51" s="77"/>
      <c r="B51" s="5"/>
      <c r="C51" s="24"/>
      <c r="D51" s="16"/>
    </row>
    <row r="52" spans="1:4" ht="23.4" x14ac:dyDescent="0.3">
      <c r="A52" s="77"/>
      <c r="B52" s="5"/>
      <c r="C52" s="24"/>
      <c r="D52" s="16"/>
    </row>
    <row r="53" spans="1:4" ht="23.4" x14ac:dyDescent="0.3">
      <c r="A53" s="77"/>
      <c r="B53" s="5"/>
      <c r="C53" s="24"/>
      <c r="D53" s="16"/>
    </row>
    <row r="54" spans="1:4" ht="23.4" x14ac:dyDescent="0.3">
      <c r="A54" s="77"/>
      <c r="B54" s="5"/>
      <c r="C54" s="24"/>
      <c r="D54" s="16"/>
    </row>
    <row r="55" spans="1:4" ht="23.4" x14ac:dyDescent="0.3">
      <c r="A55" s="77"/>
      <c r="B55" s="5"/>
      <c r="C55" s="24"/>
      <c r="D55" s="16"/>
    </row>
    <row r="56" spans="1:4" ht="23.4" x14ac:dyDescent="0.3">
      <c r="A56" s="77"/>
      <c r="B56" s="5"/>
      <c r="C56" s="24"/>
      <c r="D56" s="16"/>
    </row>
    <row r="57" spans="1:4" ht="23.4" x14ac:dyDescent="0.3">
      <c r="A57" s="77"/>
      <c r="B57" s="5"/>
      <c r="C57" s="24"/>
      <c r="D57" s="16"/>
    </row>
    <row r="58" spans="1:4" ht="23.4" x14ac:dyDescent="0.3">
      <c r="A58" s="77"/>
      <c r="B58" s="5"/>
      <c r="C58" s="24"/>
      <c r="D58" s="16"/>
    </row>
    <row r="59" spans="1:4" ht="23.4" x14ac:dyDescent="0.3">
      <c r="A59" s="77"/>
      <c r="B59" s="5"/>
      <c r="C59" s="24"/>
      <c r="D59" s="16"/>
    </row>
    <row r="60" spans="1:4" ht="23.4" x14ac:dyDescent="0.3">
      <c r="A60" s="77"/>
      <c r="B60" s="5"/>
      <c r="C60" s="24"/>
      <c r="D60" s="16"/>
    </row>
    <row r="61" spans="1:4" ht="23.4" x14ac:dyDescent="0.3">
      <c r="A61" s="77"/>
      <c r="B61" s="5"/>
      <c r="C61" s="24"/>
      <c r="D61" s="16"/>
    </row>
    <row r="62" spans="1:4" ht="23.4" x14ac:dyDescent="0.3">
      <c r="A62" s="77"/>
      <c r="B62" s="5"/>
      <c r="C62" s="24"/>
      <c r="D62" s="16"/>
    </row>
    <row r="63" spans="1:4" ht="23.4" x14ac:dyDescent="0.3">
      <c r="A63" s="77"/>
      <c r="B63" s="5"/>
      <c r="C63" s="24"/>
      <c r="D63" s="16"/>
    </row>
    <row r="64" spans="1:4" ht="23.4" x14ac:dyDescent="0.3">
      <c r="A64" s="77"/>
      <c r="B64" s="5"/>
      <c r="C64" s="24"/>
      <c r="D64" s="16"/>
    </row>
    <row r="65" spans="1:4" ht="23.4" x14ac:dyDescent="0.3">
      <c r="A65" s="77"/>
      <c r="B65" s="5"/>
      <c r="C65" s="24"/>
      <c r="D65" s="16"/>
    </row>
    <row r="66" spans="1:4" ht="23.4" x14ac:dyDescent="0.3">
      <c r="A66" s="77"/>
      <c r="B66" s="5"/>
      <c r="C66" s="24"/>
      <c r="D66" s="16"/>
    </row>
    <row r="67" spans="1:4" ht="23.4" x14ac:dyDescent="0.3">
      <c r="A67" s="79"/>
      <c r="B67" s="22" t="s">
        <v>27</v>
      </c>
      <c r="C67" s="30">
        <f>SUM(C49:C66)</f>
        <v>0</v>
      </c>
      <c r="D67" s="20"/>
    </row>
    <row r="72" spans="1:4" ht="23.4" x14ac:dyDescent="0.3">
      <c r="A72" s="12" t="s">
        <v>123</v>
      </c>
      <c r="B72" s="13"/>
    </row>
    <row r="73" spans="1:4" ht="23.4" x14ac:dyDescent="0.3">
      <c r="A73" s="21"/>
    </row>
    <row r="74" spans="1:4" ht="23.4" x14ac:dyDescent="0.3">
      <c r="A74" s="17" t="s">
        <v>2</v>
      </c>
      <c r="B74" s="18" t="s">
        <v>3</v>
      </c>
      <c r="C74" s="28" t="s">
        <v>4</v>
      </c>
      <c r="D74" s="19" t="s">
        <v>24</v>
      </c>
    </row>
    <row r="75" spans="1:4" ht="23.4" x14ac:dyDescent="0.3">
      <c r="A75" s="77"/>
      <c r="B75" s="5"/>
      <c r="C75" s="24"/>
      <c r="D75" s="16" t="s">
        <v>124</v>
      </c>
    </row>
    <row r="76" spans="1:4" ht="23.4" x14ac:dyDescent="0.3">
      <c r="A76" s="77"/>
      <c r="B76" s="5"/>
      <c r="C76" s="24"/>
      <c r="D76" s="16"/>
    </row>
    <row r="77" spans="1:4" ht="23.4" x14ac:dyDescent="0.3">
      <c r="A77" s="77"/>
      <c r="B77" s="5"/>
      <c r="C77" s="24"/>
      <c r="D77" s="16"/>
    </row>
    <row r="78" spans="1:4" ht="23.4" x14ac:dyDescent="0.3">
      <c r="A78" s="77"/>
      <c r="B78" s="5"/>
      <c r="C78" s="24"/>
      <c r="D78" s="16"/>
    </row>
    <row r="79" spans="1:4" ht="23.4" x14ac:dyDescent="0.3">
      <c r="A79" s="77"/>
      <c r="B79" s="5"/>
      <c r="C79" s="24"/>
      <c r="D79" s="16"/>
    </row>
    <row r="80" spans="1:4" ht="23.4" x14ac:dyDescent="0.3">
      <c r="A80" s="77"/>
      <c r="B80" s="5"/>
      <c r="C80" s="24"/>
      <c r="D80" s="16"/>
    </row>
    <row r="81" spans="1:4" ht="23.4" x14ac:dyDescent="0.3">
      <c r="A81" s="77"/>
      <c r="B81" s="5"/>
      <c r="C81" s="24"/>
      <c r="D81" s="16"/>
    </row>
    <row r="82" spans="1:4" ht="23.4" x14ac:dyDescent="0.3">
      <c r="A82" s="77"/>
      <c r="B82" s="5"/>
      <c r="C82" s="24"/>
      <c r="D82" s="16"/>
    </row>
    <row r="83" spans="1:4" ht="23.4" x14ac:dyDescent="0.3">
      <c r="A83" s="77"/>
      <c r="B83" s="5"/>
      <c r="C83" s="24"/>
      <c r="D83" s="16"/>
    </row>
    <row r="84" spans="1:4" ht="23.4" x14ac:dyDescent="0.3">
      <c r="A84" s="77"/>
      <c r="B84" s="5"/>
      <c r="C84" s="24"/>
      <c r="D84" s="16"/>
    </row>
    <row r="85" spans="1:4" ht="23.4" x14ac:dyDescent="0.3">
      <c r="A85" s="77"/>
      <c r="B85" s="5"/>
      <c r="C85" s="24"/>
      <c r="D85" s="16"/>
    </row>
    <row r="86" spans="1:4" ht="23.4" x14ac:dyDescent="0.3">
      <c r="A86" s="77"/>
      <c r="B86" s="5"/>
      <c r="C86" s="24"/>
      <c r="D86" s="16"/>
    </row>
    <row r="87" spans="1:4" ht="23.4" x14ac:dyDescent="0.3">
      <c r="A87" s="77"/>
      <c r="B87" s="5"/>
      <c r="C87" s="24"/>
      <c r="D87" s="16"/>
    </row>
    <row r="88" spans="1:4" ht="23.4" x14ac:dyDescent="0.3">
      <c r="A88" s="77"/>
      <c r="B88" s="5"/>
      <c r="C88" s="24"/>
      <c r="D88" s="16"/>
    </row>
    <row r="89" spans="1:4" ht="23.4" x14ac:dyDescent="0.3">
      <c r="A89" s="77"/>
      <c r="B89" s="5"/>
      <c r="C89" s="24"/>
      <c r="D89" s="16"/>
    </row>
    <row r="90" spans="1:4" ht="23.4" x14ac:dyDescent="0.3">
      <c r="A90" s="77"/>
      <c r="B90" s="5"/>
      <c r="C90" s="24"/>
      <c r="D90" s="16"/>
    </row>
    <row r="91" spans="1:4" ht="23.4" x14ac:dyDescent="0.3">
      <c r="A91" s="77"/>
      <c r="B91" s="5"/>
      <c r="C91" s="24"/>
      <c r="D91" s="16"/>
    </row>
    <row r="92" spans="1:4" ht="23.4" x14ac:dyDescent="0.3">
      <c r="A92" s="77"/>
      <c r="B92" s="5"/>
      <c r="C92" s="24"/>
      <c r="D92" s="16"/>
    </row>
    <row r="93" spans="1:4" ht="23.4" x14ac:dyDescent="0.3">
      <c r="A93" s="79"/>
      <c r="B93" s="22" t="s">
        <v>27</v>
      </c>
      <c r="C93" s="30">
        <f>SUM(C75:C92)</f>
        <v>0</v>
      </c>
      <c r="D93" s="20"/>
    </row>
    <row r="98" spans="2:3" ht="23.4" x14ac:dyDescent="0.3">
      <c r="B98" s="10" t="s">
        <v>27</v>
      </c>
      <c r="C98" s="25">
        <f>C17+C39+C67+C93</f>
        <v>456.06</v>
      </c>
    </row>
    <row r="99" spans="2:3" ht="46.8" x14ac:dyDescent="0.3">
      <c r="B99" s="45" t="s">
        <v>125</v>
      </c>
      <c r="C99" s="27">
        <f>C98/4</f>
        <v>114.015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C8C0-5E13-480A-8752-3AE4490B5EB5}">
  <dimension ref="A1:D72"/>
  <sheetViews>
    <sheetView topLeftCell="A67" workbookViewId="0">
      <selection activeCell="J26" sqref="J26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43</v>
      </c>
      <c r="B1" s="13"/>
    </row>
    <row r="5" spans="1:4" ht="23.4" x14ac:dyDescent="0.3">
      <c r="A5" s="12" t="s">
        <v>44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7"/>
      <c r="B8" s="5" t="s">
        <v>208</v>
      </c>
      <c r="C8" s="24">
        <v>14.7</v>
      </c>
      <c r="D8" s="16" t="s">
        <v>136</v>
      </c>
    </row>
    <row r="9" spans="1:4" ht="23.4" x14ac:dyDescent="0.3">
      <c r="A9" s="77"/>
      <c r="B9" s="5" t="s">
        <v>210</v>
      </c>
      <c r="C9" s="24">
        <v>8</v>
      </c>
      <c r="D9" s="16" t="s">
        <v>136</v>
      </c>
    </row>
    <row r="10" spans="1:4" ht="23.4" x14ac:dyDescent="0.3">
      <c r="A10" s="154">
        <v>46256</v>
      </c>
      <c r="B10" s="5" t="s">
        <v>63</v>
      </c>
      <c r="C10" s="24">
        <v>22</v>
      </c>
      <c r="D10" s="16" t="s">
        <v>136</v>
      </c>
    </row>
    <row r="11" spans="1:4" ht="23.4" x14ac:dyDescent="0.3">
      <c r="A11" s="77"/>
      <c r="B11" s="5"/>
      <c r="C11" s="24"/>
      <c r="D11" s="16"/>
    </row>
    <row r="12" spans="1:4" ht="23.4" x14ac:dyDescent="0.3">
      <c r="A12" s="77"/>
      <c r="B12" s="5"/>
      <c r="C12" s="24"/>
      <c r="D12" s="16"/>
    </row>
    <row r="13" spans="1:4" ht="23.4" x14ac:dyDescent="0.3">
      <c r="A13" s="79"/>
      <c r="B13" s="22" t="s">
        <v>27</v>
      </c>
      <c r="C13" s="30">
        <f>SUM(C8:C12)</f>
        <v>44.7</v>
      </c>
      <c r="D13" s="20"/>
    </row>
    <row r="14" spans="1:4" ht="23.4" x14ac:dyDescent="0.3">
      <c r="A14" s="9"/>
      <c r="B14" s="4"/>
      <c r="C14" s="29"/>
      <c r="D14" s="1"/>
    </row>
    <row r="15" spans="1:4" ht="23.4" x14ac:dyDescent="0.3">
      <c r="A15" s="9"/>
      <c r="B15" s="4"/>
      <c r="C15" s="29"/>
      <c r="D15" s="1"/>
    </row>
    <row r="16" spans="1:4" ht="23.4" x14ac:dyDescent="0.3">
      <c r="A16" s="9"/>
      <c r="B16" s="4"/>
      <c r="C16" s="29"/>
      <c r="D16" s="1"/>
    </row>
    <row r="17" spans="1:4" ht="23.4" x14ac:dyDescent="0.3">
      <c r="A17" s="9"/>
      <c r="B17" s="4"/>
      <c r="C17" s="29"/>
      <c r="D17" s="1"/>
    </row>
    <row r="18" spans="1:4" ht="23.4" x14ac:dyDescent="0.3">
      <c r="A18" s="14" t="s">
        <v>23</v>
      </c>
      <c r="B18" s="13"/>
    </row>
    <row r="19" spans="1:4" ht="23.4" x14ac:dyDescent="0.3">
      <c r="A19" s="8"/>
    </row>
    <row r="20" spans="1:4" ht="23.4" x14ac:dyDescent="0.3">
      <c r="A20" s="17" t="s">
        <v>2</v>
      </c>
      <c r="B20" s="18" t="s">
        <v>3</v>
      </c>
      <c r="C20" s="28" t="s">
        <v>4</v>
      </c>
      <c r="D20" s="19" t="s">
        <v>24</v>
      </c>
    </row>
    <row r="21" spans="1:4" ht="23.4" x14ac:dyDescent="0.3">
      <c r="A21" s="154">
        <v>46221</v>
      </c>
      <c r="B21" s="5" t="s">
        <v>184</v>
      </c>
      <c r="C21" s="24">
        <v>33</v>
      </c>
      <c r="D21" s="16" t="s">
        <v>138</v>
      </c>
    </row>
    <row r="22" spans="1:4" ht="23.4" x14ac:dyDescent="0.3">
      <c r="A22" s="154">
        <v>46239</v>
      </c>
      <c r="B22" s="5" t="s">
        <v>209</v>
      </c>
      <c r="C22" s="24">
        <v>15</v>
      </c>
      <c r="D22" s="16" t="s">
        <v>138</v>
      </c>
    </row>
    <row r="23" spans="1:4" ht="23.4" x14ac:dyDescent="0.3">
      <c r="A23" s="154">
        <v>46239</v>
      </c>
      <c r="B23" s="5" t="s">
        <v>63</v>
      </c>
      <c r="C23" s="24">
        <v>22</v>
      </c>
      <c r="D23" s="16" t="s">
        <v>138</v>
      </c>
    </row>
    <row r="24" spans="1:4" ht="23.4" x14ac:dyDescent="0.3">
      <c r="A24" s="154">
        <v>46247</v>
      </c>
      <c r="B24" s="5" t="s">
        <v>60</v>
      </c>
      <c r="C24" s="24">
        <v>376.8</v>
      </c>
      <c r="D24" s="16" t="s">
        <v>138</v>
      </c>
    </row>
    <row r="25" spans="1:4" ht="23.4" x14ac:dyDescent="0.3">
      <c r="A25" s="154">
        <v>46256</v>
      </c>
      <c r="B25" s="5" t="s">
        <v>63</v>
      </c>
      <c r="C25" s="24">
        <v>22</v>
      </c>
      <c r="D25" s="16" t="s">
        <v>138</v>
      </c>
    </row>
    <row r="26" spans="1:4" ht="23.4" x14ac:dyDescent="0.3">
      <c r="A26" s="77"/>
      <c r="B26" s="5"/>
      <c r="C26" s="24"/>
      <c r="D26" s="16"/>
    </row>
    <row r="27" spans="1:4" ht="23.4" x14ac:dyDescent="0.3">
      <c r="A27" s="77"/>
      <c r="B27" s="5"/>
      <c r="C27" s="24"/>
      <c r="D27" s="16"/>
    </row>
    <row r="28" spans="1:4" ht="23.4" x14ac:dyDescent="0.3">
      <c r="A28" s="77"/>
      <c r="B28" s="5"/>
      <c r="C28" s="24"/>
      <c r="D28" s="16"/>
    </row>
    <row r="29" spans="1:4" ht="23.4" x14ac:dyDescent="0.3">
      <c r="A29" s="77"/>
      <c r="B29" s="5"/>
      <c r="C29" s="24"/>
      <c r="D29" s="16"/>
    </row>
    <row r="30" spans="1:4" ht="23.4" x14ac:dyDescent="0.3">
      <c r="A30" s="77"/>
      <c r="B30" s="5"/>
      <c r="C30" s="24"/>
      <c r="D30" s="16"/>
    </row>
    <row r="31" spans="1:4" ht="23.4" x14ac:dyDescent="0.3">
      <c r="A31" s="77"/>
      <c r="B31" s="5"/>
      <c r="C31" s="24"/>
      <c r="D31" s="16"/>
    </row>
    <row r="32" spans="1:4" ht="23.4" x14ac:dyDescent="0.3">
      <c r="A32" s="77"/>
      <c r="B32" s="5"/>
      <c r="C32" s="24"/>
      <c r="D32" s="16"/>
    </row>
    <row r="33" spans="1:4" ht="23.4" x14ac:dyDescent="0.3">
      <c r="A33" s="79"/>
      <c r="B33" s="7"/>
      <c r="C33" s="31"/>
      <c r="D33" s="16"/>
    </row>
    <row r="34" spans="1:4" ht="23.4" x14ac:dyDescent="0.3">
      <c r="A34" s="79"/>
      <c r="B34" s="22" t="s">
        <v>27</v>
      </c>
      <c r="C34" s="30">
        <f t="shared" ref="C34" si="0">SUM(C21:C33)</f>
        <v>468.8</v>
      </c>
      <c r="D34" s="20"/>
    </row>
    <row r="41" spans="1:4" ht="23.4" x14ac:dyDescent="0.3">
      <c r="A41" s="12" t="s">
        <v>32</v>
      </c>
      <c r="B41" s="13"/>
    </row>
    <row r="42" spans="1:4" ht="23.4" x14ac:dyDescent="0.3">
      <c r="A42" s="21"/>
    </row>
    <row r="43" spans="1:4" ht="23.4" x14ac:dyDescent="0.3">
      <c r="A43" s="17" t="s">
        <v>2</v>
      </c>
      <c r="B43" s="18" t="s">
        <v>3</v>
      </c>
      <c r="C43" s="28" t="s">
        <v>4</v>
      </c>
      <c r="D43" s="19" t="s">
        <v>24</v>
      </c>
    </row>
    <row r="44" spans="1:4" ht="23.4" x14ac:dyDescent="0.3">
      <c r="A44" s="77"/>
      <c r="B44" s="5"/>
      <c r="C44" s="24"/>
      <c r="D44" s="16" t="s">
        <v>137</v>
      </c>
    </row>
    <row r="45" spans="1:4" ht="23.4" x14ac:dyDescent="0.3">
      <c r="A45" s="77"/>
      <c r="B45" s="5"/>
      <c r="C45" s="24"/>
      <c r="D45" s="16"/>
    </row>
    <row r="46" spans="1:4" ht="23.4" x14ac:dyDescent="0.3">
      <c r="A46" s="77"/>
      <c r="B46" s="5"/>
      <c r="C46" s="24"/>
      <c r="D46" s="16"/>
    </row>
    <row r="47" spans="1:4" ht="23.4" x14ac:dyDescent="0.3">
      <c r="A47" s="77"/>
      <c r="B47" s="5"/>
      <c r="C47" s="24"/>
      <c r="D47" s="16"/>
    </row>
    <row r="48" spans="1:4" ht="23.4" x14ac:dyDescent="0.3">
      <c r="A48" s="77"/>
      <c r="B48" s="5"/>
      <c r="C48" s="24"/>
      <c r="D48" s="16"/>
    </row>
    <row r="49" spans="1:4" ht="23.4" x14ac:dyDescent="0.3">
      <c r="A49" s="77"/>
      <c r="B49" s="5"/>
      <c r="C49" s="24"/>
      <c r="D49" s="16"/>
    </row>
    <row r="50" spans="1:4" ht="23.4" x14ac:dyDescent="0.3">
      <c r="A50" s="77"/>
      <c r="B50" s="5"/>
      <c r="C50" s="24"/>
      <c r="D50" s="16"/>
    </row>
    <row r="51" spans="1:4" ht="23.4" x14ac:dyDescent="0.3">
      <c r="A51" s="77"/>
      <c r="B51" s="5"/>
      <c r="C51" s="24"/>
      <c r="D51" s="16"/>
    </row>
    <row r="52" spans="1:4" ht="23.4" x14ac:dyDescent="0.3">
      <c r="A52" s="77"/>
      <c r="B52" s="5"/>
      <c r="C52" s="24"/>
      <c r="D52" s="16"/>
    </row>
    <row r="53" spans="1:4" ht="23.4" x14ac:dyDescent="0.3">
      <c r="A53" s="77"/>
      <c r="B53" s="5"/>
      <c r="C53" s="24"/>
      <c r="D53" s="16"/>
    </row>
    <row r="54" spans="1:4" ht="23.4" x14ac:dyDescent="0.3">
      <c r="A54" s="77"/>
      <c r="B54" s="5"/>
      <c r="C54" s="24"/>
      <c r="D54" s="16"/>
    </row>
    <row r="55" spans="1:4" ht="23.4" x14ac:dyDescent="0.3">
      <c r="A55" s="77"/>
      <c r="B55" s="5"/>
      <c r="C55" s="24"/>
      <c r="D55" s="16"/>
    </row>
    <row r="56" spans="1:4" ht="23.4" x14ac:dyDescent="0.3">
      <c r="A56" s="77"/>
      <c r="B56" s="5"/>
      <c r="C56" s="24"/>
      <c r="D56" s="16"/>
    </row>
    <row r="57" spans="1:4" ht="23.4" x14ac:dyDescent="0.3">
      <c r="A57" s="77"/>
      <c r="B57" s="5"/>
      <c r="C57" s="24"/>
      <c r="D57" s="16"/>
    </row>
    <row r="58" spans="1:4" ht="23.4" x14ac:dyDescent="0.3">
      <c r="A58" s="77"/>
      <c r="B58" s="5"/>
      <c r="C58" s="24"/>
      <c r="D58" s="16"/>
    </row>
    <row r="59" spans="1:4" ht="23.4" x14ac:dyDescent="0.3">
      <c r="A59" s="77"/>
      <c r="B59" s="5"/>
      <c r="C59" s="24"/>
      <c r="D59" s="16"/>
    </row>
    <row r="60" spans="1:4" ht="23.4" x14ac:dyDescent="0.3">
      <c r="A60" s="77"/>
      <c r="B60" s="5"/>
      <c r="C60" s="24"/>
      <c r="D60" s="16"/>
    </row>
    <row r="61" spans="1:4" ht="23.4" x14ac:dyDescent="0.3">
      <c r="A61" s="77"/>
      <c r="B61" s="5"/>
      <c r="C61" s="24"/>
      <c r="D61" s="16"/>
    </row>
    <row r="62" spans="1:4" ht="23.4" x14ac:dyDescent="0.3">
      <c r="A62" s="79"/>
      <c r="B62" s="22" t="s">
        <v>27</v>
      </c>
      <c r="C62" s="30">
        <f>SUM(C44:C61)</f>
        <v>0</v>
      </c>
      <c r="D62" s="20"/>
    </row>
    <row r="71" spans="2:3" ht="23.4" x14ac:dyDescent="0.3">
      <c r="B71" s="10" t="s">
        <v>27</v>
      </c>
      <c r="C71" s="25">
        <f>C13+C34+C62</f>
        <v>513.5</v>
      </c>
    </row>
    <row r="72" spans="2:3" ht="46.8" x14ac:dyDescent="0.3">
      <c r="B72" s="45" t="s">
        <v>125</v>
      </c>
      <c r="C72" s="27">
        <f>C71/3</f>
        <v>171.16666666666666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9126-FC3B-4795-A2FE-528428D33DD2}">
  <dimension ref="A1:D75"/>
  <sheetViews>
    <sheetView topLeftCell="A65" workbookViewId="0">
      <selection activeCell="D80" sqref="D80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45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7"/>
      <c r="B8" s="5"/>
      <c r="C8" s="24"/>
      <c r="D8" s="16" t="s">
        <v>136</v>
      </c>
    </row>
    <row r="9" spans="1:4" ht="23.4" x14ac:dyDescent="0.3">
      <c r="A9" s="77"/>
      <c r="B9" s="5"/>
      <c r="C9" s="24"/>
      <c r="D9" s="16"/>
    </row>
    <row r="10" spans="1:4" ht="23.4" x14ac:dyDescent="0.3">
      <c r="A10" s="77"/>
      <c r="B10" s="5"/>
      <c r="C10" s="24"/>
      <c r="D10" s="16"/>
    </row>
    <row r="11" spans="1:4" ht="23.4" x14ac:dyDescent="0.3">
      <c r="A11" s="77"/>
      <c r="B11" s="5"/>
      <c r="C11" s="24"/>
      <c r="D11" s="16"/>
    </row>
    <row r="12" spans="1:4" ht="23.4" x14ac:dyDescent="0.3">
      <c r="A12" s="77"/>
      <c r="B12" s="5"/>
      <c r="C12" s="24"/>
      <c r="D12" s="16"/>
    </row>
    <row r="13" spans="1:4" ht="23.4" x14ac:dyDescent="0.3">
      <c r="A13" s="79"/>
      <c r="B13" s="22" t="s">
        <v>27</v>
      </c>
      <c r="C13" s="30">
        <f>SUM(C8:C12)</f>
        <v>0</v>
      </c>
      <c r="D13" s="20"/>
    </row>
    <row r="14" spans="1:4" ht="23.4" x14ac:dyDescent="0.3">
      <c r="A14" s="9"/>
      <c r="B14" s="4"/>
      <c r="C14" s="29"/>
      <c r="D14" s="1"/>
    </row>
    <row r="15" spans="1:4" ht="23.4" x14ac:dyDescent="0.3">
      <c r="A15" s="9"/>
      <c r="B15" s="4"/>
      <c r="C15" s="29"/>
      <c r="D15" s="1"/>
    </row>
    <row r="16" spans="1:4" ht="23.4" x14ac:dyDescent="0.3">
      <c r="A16" s="9"/>
      <c r="B16" s="4"/>
      <c r="C16" s="29"/>
      <c r="D16" s="1"/>
    </row>
    <row r="17" spans="1:4" ht="23.4" x14ac:dyDescent="0.3">
      <c r="A17" s="9"/>
      <c r="B17" s="4"/>
      <c r="C17" s="29"/>
      <c r="D17" s="1"/>
    </row>
    <row r="18" spans="1:4" ht="23.4" x14ac:dyDescent="0.3">
      <c r="A18" s="14" t="s">
        <v>23</v>
      </c>
      <c r="B18" s="13"/>
    </row>
    <row r="19" spans="1:4" ht="23.4" x14ac:dyDescent="0.3">
      <c r="A19" s="8"/>
    </row>
    <row r="20" spans="1:4" ht="23.4" x14ac:dyDescent="0.3">
      <c r="A20" s="17" t="s">
        <v>2</v>
      </c>
      <c r="B20" s="18" t="s">
        <v>3</v>
      </c>
      <c r="C20" s="28" t="s">
        <v>4</v>
      </c>
      <c r="D20" s="19" t="s">
        <v>24</v>
      </c>
    </row>
    <row r="21" spans="1:4" ht="23.4" x14ac:dyDescent="0.3">
      <c r="A21" s="77"/>
      <c r="B21" s="5"/>
      <c r="C21" s="24"/>
      <c r="D21" s="16" t="s">
        <v>138</v>
      </c>
    </row>
    <row r="22" spans="1:4" ht="23.4" x14ac:dyDescent="0.3">
      <c r="A22" s="77"/>
      <c r="B22" s="5"/>
      <c r="C22" s="24"/>
      <c r="D22" s="16"/>
    </row>
    <row r="23" spans="1:4" ht="23.4" x14ac:dyDescent="0.3">
      <c r="A23" s="77"/>
      <c r="B23" s="5"/>
      <c r="C23" s="24"/>
      <c r="D23" s="16"/>
    </row>
    <row r="24" spans="1:4" ht="23.4" x14ac:dyDescent="0.3">
      <c r="A24" s="77"/>
      <c r="B24" s="5"/>
      <c r="C24" s="24"/>
      <c r="D24" s="16"/>
    </row>
    <row r="25" spans="1:4" ht="23.4" x14ac:dyDescent="0.3">
      <c r="A25" s="77"/>
      <c r="B25" s="5"/>
      <c r="C25" s="24"/>
      <c r="D25" s="16"/>
    </row>
    <row r="26" spans="1:4" ht="23.4" x14ac:dyDescent="0.3">
      <c r="A26" s="77"/>
      <c r="B26" s="5"/>
      <c r="C26" s="24"/>
      <c r="D26" s="16"/>
    </row>
    <row r="27" spans="1:4" ht="23.4" x14ac:dyDescent="0.3">
      <c r="A27" s="77"/>
      <c r="B27" s="5"/>
      <c r="C27" s="24"/>
      <c r="D27" s="16"/>
    </row>
    <row r="28" spans="1:4" ht="23.4" x14ac:dyDescent="0.3">
      <c r="A28" s="77"/>
      <c r="B28" s="5"/>
      <c r="C28" s="24"/>
      <c r="D28" s="16"/>
    </row>
    <row r="29" spans="1:4" ht="23.4" x14ac:dyDescent="0.3">
      <c r="A29" s="77"/>
      <c r="B29" s="5"/>
      <c r="C29" s="24"/>
      <c r="D29" s="16"/>
    </row>
    <row r="30" spans="1:4" ht="23.4" x14ac:dyDescent="0.3">
      <c r="A30" s="77"/>
      <c r="B30" s="5"/>
      <c r="C30" s="24"/>
      <c r="D30" s="16"/>
    </row>
    <row r="31" spans="1:4" ht="23.4" x14ac:dyDescent="0.3">
      <c r="A31" s="77"/>
      <c r="B31" s="5"/>
      <c r="C31" s="24"/>
      <c r="D31" s="16"/>
    </row>
    <row r="32" spans="1:4" ht="23.4" x14ac:dyDescent="0.3">
      <c r="A32" s="77"/>
      <c r="B32" s="5"/>
      <c r="C32" s="24"/>
      <c r="D32" s="16"/>
    </row>
    <row r="33" spans="1:4" ht="23.4" x14ac:dyDescent="0.3">
      <c r="A33" s="79"/>
      <c r="B33" s="7"/>
      <c r="C33" s="31"/>
      <c r="D33" s="16"/>
    </row>
    <row r="34" spans="1:4" ht="23.4" x14ac:dyDescent="0.3">
      <c r="A34" s="79"/>
      <c r="B34" s="22" t="s">
        <v>27</v>
      </c>
      <c r="C34" s="30">
        <f t="shared" ref="C34" si="0">SUM(C21:C33)</f>
        <v>0</v>
      </c>
      <c r="D34" s="20"/>
    </row>
    <row r="41" spans="1:4" ht="23.4" x14ac:dyDescent="0.3">
      <c r="A41" s="12" t="s">
        <v>32</v>
      </c>
      <c r="B41" s="13"/>
    </row>
    <row r="42" spans="1:4" ht="23.4" x14ac:dyDescent="0.3">
      <c r="A42" s="21"/>
    </row>
    <row r="43" spans="1:4" ht="23.4" x14ac:dyDescent="0.3">
      <c r="A43" s="17" t="s">
        <v>2</v>
      </c>
      <c r="B43" s="18" t="s">
        <v>3</v>
      </c>
      <c r="C43" s="28" t="s">
        <v>4</v>
      </c>
      <c r="D43" s="19" t="s">
        <v>24</v>
      </c>
    </row>
    <row r="44" spans="1:4" ht="23.4" x14ac:dyDescent="0.3">
      <c r="A44" s="77"/>
      <c r="B44" s="5"/>
      <c r="C44" s="24"/>
      <c r="D44" s="16" t="s">
        <v>137</v>
      </c>
    </row>
    <row r="45" spans="1:4" ht="23.4" x14ac:dyDescent="0.3">
      <c r="A45" s="77"/>
      <c r="B45" s="5"/>
      <c r="C45" s="24"/>
      <c r="D45" s="16"/>
    </row>
    <row r="46" spans="1:4" ht="23.4" x14ac:dyDescent="0.3">
      <c r="A46" s="77"/>
      <c r="B46" s="5"/>
      <c r="C46" s="24"/>
      <c r="D46" s="16"/>
    </row>
    <row r="47" spans="1:4" ht="23.4" x14ac:dyDescent="0.3">
      <c r="A47" s="77"/>
      <c r="B47" s="5"/>
      <c r="C47" s="24"/>
      <c r="D47" s="16"/>
    </row>
    <row r="48" spans="1:4" ht="23.4" x14ac:dyDescent="0.3">
      <c r="A48" s="77"/>
      <c r="B48" s="5"/>
      <c r="C48" s="24"/>
      <c r="D48" s="16"/>
    </row>
    <row r="49" spans="1:4" ht="23.4" x14ac:dyDescent="0.3">
      <c r="A49" s="77"/>
      <c r="B49" s="5"/>
      <c r="C49" s="24"/>
      <c r="D49" s="16"/>
    </row>
    <row r="50" spans="1:4" ht="23.4" x14ac:dyDescent="0.3">
      <c r="A50" s="77"/>
      <c r="B50" s="5"/>
      <c r="C50" s="24"/>
      <c r="D50" s="16"/>
    </row>
    <row r="51" spans="1:4" ht="23.4" x14ac:dyDescent="0.3">
      <c r="A51" s="77"/>
      <c r="B51" s="5"/>
      <c r="C51" s="24"/>
      <c r="D51" s="16"/>
    </row>
    <row r="52" spans="1:4" ht="23.4" x14ac:dyDescent="0.3">
      <c r="A52" s="77"/>
      <c r="B52" s="5"/>
      <c r="C52" s="24"/>
      <c r="D52" s="16"/>
    </row>
    <row r="53" spans="1:4" ht="23.4" x14ac:dyDescent="0.3">
      <c r="A53" s="77"/>
      <c r="B53" s="5"/>
      <c r="C53" s="24"/>
      <c r="D53" s="16"/>
    </row>
    <row r="54" spans="1:4" ht="23.4" x14ac:dyDescent="0.3">
      <c r="A54" s="77"/>
      <c r="B54" s="5"/>
      <c r="C54" s="24"/>
      <c r="D54" s="16"/>
    </row>
    <row r="55" spans="1:4" ht="23.4" x14ac:dyDescent="0.3">
      <c r="A55" s="77"/>
      <c r="B55" s="5"/>
      <c r="C55" s="24"/>
      <c r="D55" s="16"/>
    </row>
    <row r="56" spans="1:4" ht="23.4" x14ac:dyDescent="0.3">
      <c r="A56" s="77"/>
      <c r="B56" s="5"/>
      <c r="C56" s="24"/>
      <c r="D56" s="16"/>
    </row>
    <row r="57" spans="1:4" ht="23.4" x14ac:dyDescent="0.3">
      <c r="A57" s="77"/>
      <c r="B57" s="5"/>
      <c r="C57" s="24"/>
      <c r="D57" s="16"/>
    </row>
    <row r="58" spans="1:4" ht="23.4" x14ac:dyDescent="0.3">
      <c r="A58" s="77"/>
      <c r="B58" s="5"/>
      <c r="C58" s="24"/>
      <c r="D58" s="16"/>
    </row>
    <row r="59" spans="1:4" ht="23.4" x14ac:dyDescent="0.3">
      <c r="A59" s="77"/>
      <c r="B59" s="5"/>
      <c r="C59" s="24"/>
      <c r="D59" s="16"/>
    </row>
    <row r="60" spans="1:4" ht="23.4" x14ac:dyDescent="0.3">
      <c r="A60" s="77"/>
      <c r="B60" s="5"/>
      <c r="C60" s="24"/>
      <c r="D60" s="16"/>
    </row>
    <row r="61" spans="1:4" ht="23.4" x14ac:dyDescent="0.3">
      <c r="A61" s="77"/>
      <c r="B61" s="5"/>
      <c r="C61" s="24"/>
      <c r="D61" s="16"/>
    </row>
    <row r="62" spans="1:4" ht="23.4" x14ac:dyDescent="0.3">
      <c r="A62" s="79"/>
      <c r="B62" s="22" t="s">
        <v>27</v>
      </c>
      <c r="C62" s="30">
        <f>SUM(C44:C61)</f>
        <v>0</v>
      </c>
      <c r="D62" s="20"/>
    </row>
    <row r="74" spans="2:3" ht="23.4" x14ac:dyDescent="0.3">
      <c r="B74" s="10" t="s">
        <v>27</v>
      </c>
      <c r="C74" s="25">
        <f>C13+C34+C62</f>
        <v>0</v>
      </c>
    </row>
    <row r="75" spans="2:3" ht="46.8" x14ac:dyDescent="0.3">
      <c r="B75" s="45" t="s">
        <v>125</v>
      </c>
      <c r="C75" s="27">
        <f>C74/3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34DC-E19C-4188-A0CD-47A8B9873AEE}">
  <dimension ref="A1:D73"/>
  <sheetViews>
    <sheetView topLeftCell="A28" workbookViewId="0">
      <selection activeCell="F38" sqref="F38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9" t="s">
        <v>114</v>
      </c>
      <c r="B1" s="13"/>
    </row>
    <row r="5" spans="1:4" ht="23.4" x14ac:dyDescent="0.3">
      <c r="A5" s="12" t="s">
        <v>30</v>
      </c>
      <c r="B5" s="13"/>
    </row>
    <row r="6" spans="1:4" ht="23.4" x14ac:dyDescent="0.3">
      <c r="A6" s="21"/>
    </row>
    <row r="7" spans="1:4" ht="23.4" x14ac:dyDescent="0.3">
      <c r="A7" s="17" t="s">
        <v>2</v>
      </c>
      <c r="B7" s="18" t="s">
        <v>3</v>
      </c>
      <c r="C7" s="28" t="s">
        <v>4</v>
      </c>
      <c r="D7" s="19" t="s">
        <v>24</v>
      </c>
    </row>
    <row r="8" spans="1:4" ht="23.4" x14ac:dyDescent="0.3">
      <c r="A8" s="77"/>
      <c r="B8" s="5" t="s">
        <v>115</v>
      </c>
      <c r="C8" s="24"/>
      <c r="D8" s="16" t="s">
        <v>136</v>
      </c>
    </row>
    <row r="9" spans="1:4" ht="23.4" x14ac:dyDescent="0.3">
      <c r="A9" s="77"/>
      <c r="B9" s="5"/>
      <c r="C9" s="24"/>
      <c r="D9" s="16"/>
    </row>
    <row r="10" spans="1:4" ht="23.4" x14ac:dyDescent="0.3">
      <c r="A10" s="77"/>
      <c r="B10" s="5"/>
      <c r="C10" s="24"/>
      <c r="D10" s="16"/>
    </row>
    <row r="11" spans="1:4" ht="23.4" x14ac:dyDescent="0.3">
      <c r="A11" s="77"/>
      <c r="B11" s="5"/>
      <c r="C11" s="24"/>
      <c r="D11" s="16"/>
    </row>
    <row r="12" spans="1:4" ht="23.4" x14ac:dyDescent="0.3">
      <c r="A12" s="77"/>
      <c r="B12" s="5"/>
      <c r="C12" s="24"/>
      <c r="D12" s="16"/>
    </row>
    <row r="13" spans="1:4" ht="23.4" x14ac:dyDescent="0.3">
      <c r="A13" s="79"/>
      <c r="B13" s="22" t="s">
        <v>27</v>
      </c>
      <c r="C13" s="30">
        <f>SUM(C8:C12)</f>
        <v>0</v>
      </c>
      <c r="D13" s="20"/>
    </row>
    <row r="14" spans="1:4" ht="23.4" x14ac:dyDescent="0.3">
      <c r="A14" s="9"/>
      <c r="B14" s="4"/>
      <c r="C14" s="29"/>
      <c r="D14" s="1"/>
    </row>
    <row r="15" spans="1:4" ht="23.4" x14ac:dyDescent="0.3">
      <c r="A15" s="9"/>
      <c r="B15" s="4"/>
      <c r="C15" s="29"/>
      <c r="D15" s="1"/>
    </row>
    <row r="16" spans="1:4" ht="23.4" x14ac:dyDescent="0.3">
      <c r="A16" s="9"/>
      <c r="B16" s="4"/>
      <c r="C16" s="29"/>
      <c r="D16" s="1"/>
    </row>
    <row r="17" spans="1:4" ht="23.4" x14ac:dyDescent="0.3">
      <c r="A17" s="9"/>
      <c r="B17" s="4"/>
      <c r="C17" s="29"/>
      <c r="D17" s="1"/>
    </row>
    <row r="18" spans="1:4" ht="23.4" x14ac:dyDescent="0.3">
      <c r="A18" s="14" t="s">
        <v>23</v>
      </c>
      <c r="B18" s="13"/>
    </row>
    <row r="19" spans="1:4" ht="23.4" x14ac:dyDescent="0.3">
      <c r="A19" s="8"/>
    </row>
    <row r="20" spans="1:4" ht="23.4" x14ac:dyDescent="0.3">
      <c r="A20" s="17" t="s">
        <v>2</v>
      </c>
      <c r="B20" s="18" t="s">
        <v>3</v>
      </c>
      <c r="C20" s="28" t="s">
        <v>4</v>
      </c>
      <c r="D20" s="19" t="s">
        <v>24</v>
      </c>
    </row>
    <row r="21" spans="1:4" ht="23.4" x14ac:dyDescent="0.3">
      <c r="A21" s="77"/>
      <c r="B21" s="5"/>
      <c r="C21" s="24"/>
      <c r="D21" s="16" t="s">
        <v>138</v>
      </c>
    </row>
    <row r="22" spans="1:4" ht="23.4" x14ac:dyDescent="0.3">
      <c r="A22" s="77"/>
      <c r="B22" s="5"/>
      <c r="C22" s="24"/>
      <c r="D22" s="16"/>
    </row>
    <row r="23" spans="1:4" ht="23.4" x14ac:dyDescent="0.3">
      <c r="A23" s="77"/>
      <c r="B23" s="5"/>
      <c r="C23" s="24"/>
      <c r="D23" s="16"/>
    </row>
    <row r="24" spans="1:4" ht="23.4" x14ac:dyDescent="0.3">
      <c r="A24" s="77"/>
      <c r="B24" s="5"/>
      <c r="C24" s="24"/>
      <c r="D24" s="16"/>
    </row>
    <row r="25" spans="1:4" ht="23.4" x14ac:dyDescent="0.3">
      <c r="A25" s="77"/>
      <c r="B25" s="5"/>
      <c r="C25" s="24"/>
      <c r="D25" s="16"/>
    </row>
    <row r="26" spans="1:4" ht="23.4" x14ac:dyDescent="0.3">
      <c r="A26" s="77"/>
      <c r="B26" s="5"/>
      <c r="C26" s="24"/>
      <c r="D26" s="16"/>
    </row>
    <row r="27" spans="1:4" ht="23.4" x14ac:dyDescent="0.3">
      <c r="A27" s="77"/>
      <c r="B27" s="5"/>
      <c r="C27" s="24"/>
      <c r="D27" s="16"/>
    </row>
    <row r="28" spans="1:4" ht="23.4" x14ac:dyDescent="0.3">
      <c r="A28" s="77"/>
      <c r="B28" s="5"/>
      <c r="C28" s="24"/>
      <c r="D28" s="16"/>
    </row>
    <row r="29" spans="1:4" ht="23.4" x14ac:dyDescent="0.3">
      <c r="A29" s="77"/>
      <c r="B29" s="5"/>
      <c r="C29" s="24"/>
      <c r="D29" s="16"/>
    </row>
    <row r="30" spans="1:4" ht="23.4" x14ac:dyDescent="0.3">
      <c r="A30" s="77"/>
      <c r="B30" s="5"/>
      <c r="C30" s="24"/>
      <c r="D30" s="16"/>
    </row>
    <row r="31" spans="1:4" ht="23.4" x14ac:dyDescent="0.3">
      <c r="A31" s="77"/>
      <c r="B31" s="5"/>
      <c r="C31" s="24"/>
      <c r="D31" s="16"/>
    </row>
    <row r="32" spans="1:4" ht="23.4" x14ac:dyDescent="0.3">
      <c r="A32" s="77"/>
      <c r="B32" s="5"/>
      <c r="C32" s="24"/>
      <c r="D32" s="16"/>
    </row>
    <row r="33" spans="1:4" ht="23.4" x14ac:dyDescent="0.3">
      <c r="A33" s="79"/>
      <c r="B33" s="7"/>
      <c r="C33" s="31"/>
      <c r="D33" s="16"/>
    </row>
    <row r="34" spans="1:4" ht="23.4" x14ac:dyDescent="0.3">
      <c r="A34" s="79"/>
      <c r="B34" s="22" t="s">
        <v>27</v>
      </c>
      <c r="C34" s="30">
        <f t="shared" ref="C34" si="0">SUM(C21:C33)</f>
        <v>0</v>
      </c>
      <c r="D34" s="20"/>
    </row>
    <row r="41" spans="1:4" ht="23.4" x14ac:dyDescent="0.3">
      <c r="A41" s="12" t="s">
        <v>32</v>
      </c>
      <c r="B41" s="13"/>
    </row>
    <row r="42" spans="1:4" ht="23.4" x14ac:dyDescent="0.3">
      <c r="A42" s="21"/>
    </row>
    <row r="43" spans="1:4" ht="23.4" x14ac:dyDescent="0.3">
      <c r="A43" s="17" t="s">
        <v>2</v>
      </c>
      <c r="B43" s="18" t="s">
        <v>3</v>
      </c>
      <c r="C43" s="28" t="s">
        <v>4</v>
      </c>
      <c r="D43" s="19" t="s">
        <v>24</v>
      </c>
    </row>
    <row r="44" spans="1:4" ht="23.4" x14ac:dyDescent="0.3">
      <c r="A44" s="77"/>
      <c r="B44" s="5"/>
      <c r="C44" s="24"/>
      <c r="D44" s="16" t="s">
        <v>137</v>
      </c>
    </row>
    <row r="45" spans="1:4" ht="23.4" x14ac:dyDescent="0.3">
      <c r="A45" s="77"/>
      <c r="B45" s="5"/>
      <c r="C45" s="24"/>
      <c r="D45" s="16"/>
    </row>
    <row r="46" spans="1:4" ht="23.4" x14ac:dyDescent="0.3">
      <c r="A46" s="77"/>
      <c r="B46" s="5"/>
      <c r="C46" s="24"/>
      <c r="D46" s="16"/>
    </row>
    <row r="47" spans="1:4" ht="23.4" x14ac:dyDescent="0.3">
      <c r="A47" s="77"/>
      <c r="B47" s="5"/>
      <c r="C47" s="24"/>
      <c r="D47" s="16"/>
    </row>
    <row r="48" spans="1:4" ht="23.4" x14ac:dyDescent="0.3">
      <c r="A48" s="77"/>
      <c r="B48" s="5"/>
      <c r="C48" s="24"/>
      <c r="D48" s="16"/>
    </row>
    <row r="49" spans="1:4" ht="23.4" x14ac:dyDescent="0.3">
      <c r="A49" s="77"/>
      <c r="B49" s="5"/>
      <c r="C49" s="24"/>
      <c r="D49" s="16"/>
    </row>
    <row r="50" spans="1:4" ht="23.4" x14ac:dyDescent="0.3">
      <c r="A50" s="77"/>
      <c r="B50" s="5"/>
      <c r="C50" s="24"/>
      <c r="D50" s="16"/>
    </row>
    <row r="51" spans="1:4" ht="23.4" x14ac:dyDescent="0.3">
      <c r="A51" s="77"/>
      <c r="B51" s="5"/>
      <c r="C51" s="24"/>
      <c r="D51" s="16"/>
    </row>
    <row r="52" spans="1:4" ht="23.4" x14ac:dyDescent="0.3">
      <c r="A52" s="77"/>
      <c r="B52" s="5"/>
      <c r="C52" s="24"/>
      <c r="D52" s="16"/>
    </row>
    <row r="53" spans="1:4" ht="23.4" x14ac:dyDescent="0.3">
      <c r="A53" s="77"/>
      <c r="B53" s="5"/>
      <c r="C53" s="24"/>
      <c r="D53" s="16"/>
    </row>
    <row r="54" spans="1:4" ht="23.4" x14ac:dyDescent="0.3">
      <c r="A54" s="77"/>
      <c r="B54" s="5"/>
      <c r="C54" s="24"/>
      <c r="D54" s="16"/>
    </row>
    <row r="55" spans="1:4" ht="23.4" x14ac:dyDescent="0.3">
      <c r="A55" s="77"/>
      <c r="B55" s="5"/>
      <c r="C55" s="24"/>
      <c r="D55" s="16"/>
    </row>
    <row r="56" spans="1:4" ht="23.4" x14ac:dyDescent="0.3">
      <c r="A56" s="77"/>
      <c r="B56" s="5"/>
      <c r="C56" s="24"/>
      <c r="D56" s="16"/>
    </row>
    <row r="57" spans="1:4" ht="23.4" x14ac:dyDescent="0.3">
      <c r="A57" s="77"/>
      <c r="B57" s="5"/>
      <c r="C57" s="24"/>
      <c r="D57" s="16"/>
    </row>
    <row r="58" spans="1:4" ht="23.4" x14ac:dyDescent="0.3">
      <c r="A58" s="77"/>
      <c r="B58" s="5"/>
      <c r="C58" s="24"/>
      <c r="D58" s="16"/>
    </row>
    <row r="59" spans="1:4" ht="23.4" x14ac:dyDescent="0.3">
      <c r="A59" s="77"/>
      <c r="B59" s="5"/>
      <c r="C59" s="24"/>
      <c r="D59" s="16"/>
    </row>
    <row r="60" spans="1:4" ht="23.4" x14ac:dyDescent="0.3">
      <c r="A60" s="77"/>
      <c r="B60" s="5"/>
      <c r="C60" s="24"/>
      <c r="D60" s="16"/>
    </row>
    <row r="61" spans="1:4" ht="23.4" x14ac:dyDescent="0.3">
      <c r="A61" s="77"/>
      <c r="B61" s="5"/>
      <c r="C61" s="24"/>
      <c r="D61" s="16"/>
    </row>
    <row r="62" spans="1:4" ht="23.4" x14ac:dyDescent="0.3">
      <c r="A62" s="79"/>
      <c r="B62" s="22" t="s">
        <v>27</v>
      </c>
      <c r="C62" s="30">
        <f>SUM(C44:C61)</f>
        <v>0</v>
      </c>
      <c r="D62" s="20"/>
    </row>
    <row r="72" spans="2:3" ht="23.4" x14ac:dyDescent="0.3">
      <c r="B72" s="10" t="s">
        <v>27</v>
      </c>
      <c r="C72" s="25">
        <f>C13+C34+C62</f>
        <v>0</v>
      </c>
    </row>
    <row r="73" spans="2:3" ht="46.8" x14ac:dyDescent="0.3">
      <c r="B73" s="45" t="s">
        <v>125</v>
      </c>
      <c r="C73" s="27">
        <f>C72/3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Hus Alahmed</vt:lpstr>
      <vt:lpstr>Siraj</vt:lpstr>
      <vt:lpstr>Mahdi BuAli</vt:lpstr>
      <vt:lpstr>Main Expenses (Fixed)</vt:lpstr>
      <vt:lpstr>Days each month</vt:lpstr>
      <vt:lpstr>October 2025</vt:lpstr>
      <vt:lpstr>November 2025</vt:lpstr>
      <vt:lpstr>December 2025</vt:lpstr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</vt:vector>
  </TitlesOfParts>
  <Manager/>
  <Company>Accenture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Al-Moghalliq, Hussain</dc:creator>
  <cp:keywords/>
  <dc:description/>
  <cp:lastModifiedBy>Hussain Almoghalliq</cp:lastModifiedBy>
  <cp:revision/>
  <dcterms:created xsi:type="dcterms:W3CDTF">2016-02-24T06:27:50Z</dcterms:created>
  <dcterms:modified xsi:type="dcterms:W3CDTF">2026-09-09T06:13:33Z</dcterms:modified>
  <cp:category/>
  <cp:contentStatus/>
</cp:coreProperties>
</file>