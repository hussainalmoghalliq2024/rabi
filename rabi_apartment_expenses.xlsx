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FF054B11-FF8D-4571-930C-E89DBD8E0940}" xr6:coauthVersionLast="47" xr6:coauthVersionMax="47" xr10:uidLastSave="{00000000-0000-0000-0000-000000000000}"/>
  <bookViews>
    <workbookView xWindow="-108" yWindow="-108" windowWidth="23256" windowHeight="12456" firstSheet="10" activeTab="16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4" i="27" l="1"/>
  <c r="C75" i="27" s="1"/>
  <c r="G23" i="28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<sst xmlns="http://schemas.openxmlformats.org/spreadsheetml/2006/main" count="755" uniqueCount="218">
  <si>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</si>
  <si>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</si>
  <si>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</si>
  <si>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</si>
  <si>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</si>
  <si>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</si>
  <si>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</si>
  <si>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</si>
  <si>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</si>
  <si>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</si>
  <si>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</si>
  <si>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</si>
  <si>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</si>
  <si>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</si>
  <si>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</si>
  <si>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</si>
  <si>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</si>
  <si>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</si>
  <si>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</si>
  <si>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</si>
  <si>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</si>
  <si>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</si>
  <si>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</si>
  <si>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</si>
  <si>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</si>
  <si>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</si>
  <si>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</si>
  <si>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</si>
  <si>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</si>
  <si>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</si>
  <si>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</si>
  <si>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</si>
  <si>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</si>
  <si>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</si>
  <si>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</si>
  <si>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</si>
  <si>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</si>
  <si>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</si>
  <si>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</si>
  <si>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</si>
  <si>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</si>
  <si>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</si>
  <si>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</si>
  <si>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</si>
  <si>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</si>
  <si>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</si>
  <si>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</si>
  <si>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</si>
  <si>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</si>
  <si>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</si>
  <si>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</si>
  <si>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</si>
  <si>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</si>
  <si>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</si>
  <si>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</si>
  <si>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</si>
  <si>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</si>
  <si>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</si>
  <si>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</si>
  <si>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</si>
  <si>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</si>
  <si>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</si>
  <si>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</si>
  <si>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</si>
  <si>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</si>
  <si>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</si>
  <si>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</si>
  <si>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</si>
  <si>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</si>
  <si>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</si>
  <si>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</si>
  <si>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</si>
  <si>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</si>
  <si>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</si>
  <si>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</si>
  <si>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</si>
  <si>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</si>
  <si>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</si>
  <si>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</si>
  <si>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</si>
  <si>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</si>
  <si>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</si>
  <si>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</si>
  <si>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</si>
  <si>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</si>
  <si>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</si>
  <si>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</si>
  <si>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</si>
  <si>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</si>
  <si>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</si>
  <si>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</si>
  <si>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</si>
  <si>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</si>
  <si>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</si>
  <si>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</si>
  <si>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</si>
  <si>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</si>
  <si>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</si>
  <si>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</si>
  <si>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</si>
  <si>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</si>
  <si>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</si>
  <si>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</si>
  <si>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</si>
  <si>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</si>
  <si>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</si>
  <si>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</si>
  <si>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</si>
  <si>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</si>
  <si>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</si>
  <si>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</si>
  <si>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</si>
  <si>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</si>
  <si>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</si>
  <si>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</si>
  <si>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</si>
  <si>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</si>
  <si>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</si>
  <si>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</si>
  <si>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</si>
  <si>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</si>
  <si>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</si>
  <si>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</si>
  <si>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</si>
  <si>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</si>
  <si>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</si>
  <si>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</si>
  <si>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</si>
  <si>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</si>
  <si>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</si>
  <si>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</si>
  <si>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</si>
  <si>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</si>
  <si>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</si>
  <si>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</si>
  <si>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</si>
  <si>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</si>
  <si>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</si>
  <si>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</si>
  <si>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</si>
  <si>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</si>
  <si>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</si>
  <si>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</si>
  <si>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</si>
  <si>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</si>
  <si>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</si>
  <si>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</si>
  <si>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</si>
  <si>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</si>
  <si>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</si>
  <si>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</si>
  <si>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</si>
  <si>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</si>
  <si>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</si>
  <si>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</si>
  <si>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</si>
  <si>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</si>
  <si>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</si>
  <si>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</si>
  <si>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</si>
  <si>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</si>
  <si>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</si>
  <si>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</si>
  <si>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</si>
  <si>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</si>
  <si>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</si>
  <si>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</si>
  <si>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</si>
  <si>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</si>
  <si>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</si>
  <si>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</si>
  <si>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</si>
  <si>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</si>
  <si>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</si>
  <si>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</si>
  <si>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</si>
  <si>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</si>
  <si>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</si>
  <si>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</si>
  <si>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</si>
  <si>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</si>
  <si>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</si>
  <si>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</si>
  <si>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</si>
  <si>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</si>
  <si>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</si>
  <si>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</si>
  <si>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</si>
  <si>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</si>
  <si>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</si>
  <si>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</si>
  <si>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</si>
  <si>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</si>
  <si>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</si>
  <si>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</si>
  <si>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</si>
  <si>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</si>
  <si>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</si>
  <si>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</si>
  <si>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</si>
  <si>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</si>
  <si>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</si>
  <si>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</si>
  <si>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</si>
  <si>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</si>
  <si>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</si>
  <si>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</si>
  <si>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</si>
  <si>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</si>
  <si>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</si>
  <si>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</si>
  <si>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</si>
  <si>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</si>
  <si>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</si>
  <si>
    <t>استخدام رصيد من الأجار لدفع العزبة</t>
  </si>
  <si>
    <t>نقل رصيد من الأجار لدفع العزبة</t>
  </si>
  <si>
    <t>ماء</t>
  </si>
  <si>
    <t>تبديل قرب الماي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</si>
</sst>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41" tableBorderDxfId="40" totalsRowBorderDxfId="39">
  <autoFilter ref="A20:D34" xr:uid="{6A708C44-F2F5-4584-913D-DD0A472A5F82}"/>
  <tableColumns count="4">
    <tableColumn id="1" xr3:uid="{7CFF2E1C-A49A-460E-9D75-96C7FAF585A6}" name="Date" dataDxfId="38"/>
    <tableColumn id="2" xr3:uid="{DBBE7C3A-9DD4-4CEF-92F8-302E0A0CB7FD}" name="Description" dataDxfId="37"/>
    <tableColumn id="3" xr3:uid="{E8B6E211-200A-4365-BB3F-818CA57588D9}" name="Amount" dataDxfId="36">
      <calculatedColumnFormula>SUM(C8:C20)</calculatedColumnFormula>
    </tableColumn>
    <tableColumn id="4" xr3:uid="{D0796C86-173C-40C5-8DE1-CEB31FF35A1C}" name="Paid By" dataDxfId="3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4" tableBorderDxfId="33" totalsRowBorderDxfId="32">
  <autoFilter ref="A7:D13" xr:uid="{80463B2B-140C-4BDB-8DD5-F6096215EFE7}"/>
  <tableColumns count="4">
    <tableColumn id="1" xr3:uid="{AD4A8155-6689-47BA-B9D9-19AC8BEA4910}" name="Date" dataDxfId="31"/>
    <tableColumn id="2" xr3:uid="{F5FB4B0C-F432-4F80-8182-353140D7D37F}" name="Description" dataDxfId="30"/>
    <tableColumn id="3" xr3:uid="{E19F247C-7FD5-4806-B92F-AEDA88AF36BE}" name="Amount" dataDxfId="29"/>
    <tableColumn id="4" xr3:uid="{18E9AFE3-5BF0-4025-A991-7624AE9448D2}" name="Paid By" dataDxfId="2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27" tableBorderDxfId="26" totalsRowBorderDxfId="25">
  <autoFilter ref="A43:D62" xr:uid="{AE116159-1DBD-4123-96D0-93E844246614}"/>
  <tableColumns count="4">
    <tableColumn id="1" xr3:uid="{CF873077-4146-476A-8EC0-371D9267AB44}" name="Date" dataDxfId="24"/>
    <tableColumn id="2" xr3:uid="{A958E882-171D-4ABA-A091-A28DBF5FBE93}" name="Description" dataDxfId="23"/>
    <tableColumn id="3" xr3:uid="{C9F4DDC4-E0BB-4835-824D-A7D66D93F9CC}" name="Amount" dataDxfId="22"/>
    <tableColumn id="4" xr3:uid="{66EBA8A9-FE81-4155-9FC2-9C0D99AE6AAF}" name="Paid By" dataDxfId="2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321" tableBorderDxfId="320" totalsRowBorderDxfId="319">
  <autoFilter ref="A20:D34" xr:uid="{6A708C44-F2F5-4584-913D-DD0A472A5F82}"/>
  <tableColumns count="4">
    <tableColumn id="1" xr3:uid="{A1C644B6-986C-407F-8CB4-C416A8C14F82}" name="Date" dataDxfId="318"/>
    <tableColumn id="2" xr3:uid="{400A2D10-FBE5-4CE1-AB0A-A58A26237544}" name="Description" dataDxfId="317"/>
    <tableColumn id="3" xr3:uid="{AC6EF709-B830-4B83-B4F1-2927D9714BBC}" name="Amount" dataDxfId="316">
      <calculatedColumnFormula>SUM(C8:C20)</calculatedColumnFormula>
    </tableColumn>
    <tableColumn id="4" xr3:uid="{8B7FAEF0-F385-415B-B759-F761EEFF0BA3}" name="Paid By" dataDxfId="31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14" tableBorderDxfId="313" totalsRowBorderDxfId="312">
  <autoFilter ref="A7:D13" xr:uid="{80463B2B-140C-4BDB-8DD5-F6096215EFE7}"/>
  <tableColumns count="4">
    <tableColumn id="1" xr3:uid="{91DB0571-537C-4FD0-BE3A-2B50024A1CBA}" name="Date" dataDxfId="311"/>
    <tableColumn id="2" xr3:uid="{5CC5F524-AF53-4D18-8655-6F9F39A9D267}" name="Description" dataDxfId="310"/>
    <tableColumn id="3" xr3:uid="{B0CF384C-30E3-4B4A-A017-674EB0A7640B}" name="Amount" dataDxfId="309"/>
    <tableColumn id="4" xr3:uid="{9AF03DDF-B88E-46D1-ADE3-8474A7354835}" name="Paid By" dataDxfId="30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307" tableBorderDxfId="306" totalsRowBorderDxfId="305">
  <autoFilter ref="A43:D62" xr:uid="{AE116159-1DBD-4123-96D0-93E844246614}"/>
  <tableColumns count="4">
    <tableColumn id="1" xr3:uid="{A6C7E150-4B60-42EB-B543-32007322262E}" name="Date" dataDxfId="304"/>
    <tableColumn id="2" xr3:uid="{F87B002E-F8AD-4187-A408-9F7F9A2123EB}" name="Description" dataDxfId="303"/>
    <tableColumn id="3" xr3:uid="{20DE05FC-B51A-40B6-A7D3-603FE75D8381}" name="Amount" dataDxfId="302"/>
    <tableColumn id="4" xr3:uid="{4439C13A-66F5-4E79-A50D-49D4BEE14BCC}" name="Paid By" dataDxfId="30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opLeftCell="A111" zoomScale="70" zoomScaleNormal="70" workbookViewId="0">
      <selection activeCell="C123" sqref="C123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11.886718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7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7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7" ht="24.6" thickTop="1" thickBot="1" x14ac:dyDescent="0.35">
      <c r="A85" s="163"/>
      <c r="B85" s="145"/>
      <c r="C85" s="54"/>
      <c r="D85" s="55"/>
      <c r="E85" s="49"/>
      <c r="F85" s="69"/>
    </row>
    <row r="86" spans="1:7" ht="24.6" thickTop="1" thickBot="1" x14ac:dyDescent="0.35">
      <c r="A86" s="163"/>
      <c r="B86" s="145"/>
      <c r="C86" s="54"/>
      <c r="D86" s="55"/>
      <c r="E86" s="49"/>
      <c r="F86" s="69"/>
    </row>
    <row r="87" spans="1:7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3"/>
      <c r="B88" s="145"/>
      <c r="C88" s="65"/>
      <c r="D88" s="55"/>
      <c r="E88" s="55"/>
      <c r="F88" s="132"/>
    </row>
    <row r="89" spans="1:7" ht="24.6" thickTop="1" thickBot="1" x14ac:dyDescent="0.35">
      <c r="A89" s="163"/>
      <c r="B89" s="144"/>
      <c r="C89" s="66"/>
      <c r="D89" s="50"/>
      <c r="E89" s="50"/>
      <c r="F89" s="128"/>
    </row>
    <row r="90" spans="1:7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3"/>
      <c r="B91" s="143"/>
      <c r="C91" s="10" t="s">
        <v>215</v>
      </c>
      <c r="D91" s="136">
        <v>389.94</v>
      </c>
      <c r="E91" s="47">
        <f>'August 2026'!C72</f>
        <v>171.16666666666666</v>
      </c>
      <c r="F91" s="69" t="s">
        <v>165</v>
      </c>
    </row>
    <row r="92" spans="1:7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</row>
    <row r="93" spans="1:7" ht="24.6" thickTop="1" thickBot="1" x14ac:dyDescent="0.35">
      <c r="A93" s="163"/>
      <c r="B93" s="145"/>
      <c r="C93" s="22"/>
      <c r="D93" s="53"/>
      <c r="E93" s="47">
        <v>-389.94</v>
      </c>
      <c r="F93" s="69" t="s">
        <v>214</v>
      </c>
    </row>
    <row r="94" spans="1:7" ht="24.6" thickTop="1" thickBot="1" x14ac:dyDescent="0.35">
      <c r="A94" s="163"/>
      <c r="B94" s="145"/>
      <c r="C94" s="22"/>
      <c r="D94" s="53"/>
      <c r="E94" s="47"/>
      <c r="F94" s="69"/>
    </row>
    <row r="95" spans="1:7" ht="24.6" thickTop="1" thickBot="1" x14ac:dyDescent="0.35">
      <c r="A95" s="163"/>
      <c r="B95" s="145"/>
      <c r="C95" s="22"/>
      <c r="D95" s="53"/>
      <c r="E95" s="47"/>
      <c r="G95" s="138">
        <f>SUM(E91:E94)</f>
        <v>-263.47333333333336</v>
      </c>
    </row>
    <row r="96" spans="1:7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/>
      <c r="E99" s="49">
        <f>'September 2026'!C75</f>
        <v>114.70333333333333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-16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/>
      <c r="F101" s="69"/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98.703333333333333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-261.3353652968018</v>
      </c>
      <c r="E124" s="70">
        <f>SUM(E5:E116)</f>
        <v>98.698333333333338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opLeftCell="A88" zoomScale="85" zoomScaleNormal="85" workbookViewId="0">
      <selection activeCell="C99" sqref="C99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60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6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/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114.70333333333333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/>
      <c r="F85" s="124"/>
      <c r="G85" s="139">
        <f>SUM(E83:E84)</f>
        <v>114.70333333333333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-2014.0853652968021</v>
      </c>
      <c r="E99" s="70">
        <f>SUM(E6:E95)</f>
        <v>114.70333333333333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18" workbookViewId="0">
      <selection activeCell="I25" sqref="I2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abSelected="1" topLeftCell="A14" workbookViewId="0">
      <selection activeCell="J21" sqref="J2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154">
        <v>46278</v>
      </c>
      <c r="B8" s="5" t="s">
        <v>217</v>
      </c>
      <c r="C8" s="24">
        <v>16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16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46271</v>
      </c>
      <c r="B21" s="5" t="s">
        <v>216</v>
      </c>
      <c r="C21" s="24">
        <v>2</v>
      </c>
      <c r="D21" s="16" t="s">
        <v>138</v>
      </c>
    </row>
    <row r="22" spans="1:4" ht="23.4" x14ac:dyDescent="0.3">
      <c r="A22" s="154">
        <v>46278</v>
      </c>
      <c r="B22" s="5" t="s">
        <v>60</v>
      </c>
      <c r="C22" s="24">
        <v>315.11</v>
      </c>
      <c r="D22" s="16" t="s">
        <v>138</v>
      </c>
    </row>
    <row r="23" spans="1:4" ht="23.4" x14ac:dyDescent="0.3">
      <c r="A23" s="154">
        <v>46291</v>
      </c>
      <c r="B23" s="5" t="s">
        <v>51</v>
      </c>
      <c r="C23" s="24">
        <v>11</v>
      </c>
      <c r="D23" s="16" t="s">
        <v>138</v>
      </c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328.11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344.11</v>
      </c>
    </row>
    <row r="75" spans="2:3" ht="46.8" x14ac:dyDescent="0.3">
      <c r="B75" s="45" t="s">
        <v>125</v>
      </c>
      <c r="C75" s="27">
        <f>C74/3</f>
        <v>114.70333333333333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2026-09-27T06:41:24Z</dcterms:modified>
  <cp:category/>
  <cp:contentStatus/>
</cp:coreProperties>
</file>